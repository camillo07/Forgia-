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ttiacammillini/universita/📚Uni/erasmus/Studio esami cordoba📖/Dirrecion financiera 1°/esercizi/Tema 2/"/>
    </mc:Choice>
  </mc:AlternateContent>
  <xr:revisionPtr revIDLastSave="0" documentId="13_ncr:1_{D901D4B9-344D-624C-BA7E-5E17F236606A}" xr6:coauthVersionLast="47" xr6:coauthVersionMax="47" xr10:uidLastSave="{00000000-0000-0000-0000-000000000000}"/>
  <bookViews>
    <workbookView xWindow="0" yWindow="680" windowWidth="21720" windowHeight="14680" xr2:uid="{00000000-000D-0000-FFFF-FFFF00000000}"/>
  </bookViews>
  <sheets>
    <sheet name="Ejercicio 1" sheetId="1" r:id="rId1"/>
    <sheet name="Ejercicio 2" sheetId="2" r:id="rId2"/>
    <sheet name="Ejercicio 3" sheetId="3" r:id="rId3"/>
  </sheets>
  <definedNames>
    <definedName name="_xlnm.Print_Area" localSheetId="0">'Ejercicio 1'!$B$1:$H$50</definedName>
    <definedName name="_xlnm.Print_Area" localSheetId="1">'Ejercicio 2'!$A$1:$G$28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3" l="1"/>
  <c r="N5" i="3"/>
  <c r="N6" i="3"/>
  <c r="M27" i="3"/>
  <c r="N7" i="3"/>
  <c r="N8" i="3"/>
  <c r="N9" i="3"/>
  <c r="N10" i="3"/>
  <c r="N11" i="3"/>
  <c r="N13" i="3"/>
  <c r="N14" i="3"/>
  <c r="N30" i="3"/>
  <c r="O5" i="3"/>
  <c r="O6" i="3"/>
  <c r="N27" i="3"/>
  <c r="O7" i="3"/>
  <c r="O8" i="3"/>
  <c r="N18" i="3"/>
  <c r="N19" i="3"/>
  <c r="N20" i="3"/>
  <c r="N21" i="3"/>
  <c r="N12" i="3"/>
  <c r="N22" i="3"/>
  <c r="N29" i="3"/>
  <c r="O9" i="3"/>
  <c r="O10" i="3"/>
  <c r="O11" i="3"/>
  <c r="O13" i="3"/>
  <c r="O14" i="3"/>
  <c r="O30" i="3"/>
  <c r="P5" i="3"/>
  <c r="P6" i="3"/>
  <c r="O27" i="3"/>
  <c r="P7" i="3"/>
  <c r="P8" i="3"/>
  <c r="O18" i="3"/>
  <c r="O19" i="3"/>
  <c r="O20" i="3"/>
  <c r="O21" i="3"/>
  <c r="O12" i="3"/>
  <c r="O22" i="3"/>
  <c r="O29" i="3"/>
  <c r="P9" i="3"/>
  <c r="P10" i="3"/>
  <c r="P11" i="3"/>
  <c r="P13" i="3"/>
  <c r="P14" i="3"/>
  <c r="P30" i="3"/>
  <c r="Q5" i="3"/>
  <c r="Q6" i="3"/>
  <c r="P27" i="3"/>
  <c r="Q7" i="3"/>
  <c r="Q8" i="3"/>
  <c r="P18" i="3"/>
  <c r="P19" i="3"/>
  <c r="P20" i="3"/>
  <c r="P21" i="3"/>
  <c r="P12" i="3"/>
  <c r="P22" i="3"/>
  <c r="P29" i="3"/>
  <c r="Q9" i="3"/>
  <c r="Q10" i="3"/>
  <c r="Q11" i="3"/>
  <c r="Q13" i="3"/>
  <c r="Q14" i="3"/>
  <c r="Q30" i="3"/>
  <c r="R5" i="3"/>
  <c r="R6" i="3"/>
  <c r="Q27" i="3"/>
  <c r="R7" i="3"/>
  <c r="R8" i="3"/>
  <c r="Q18" i="3"/>
  <c r="Q19" i="3"/>
  <c r="Q20" i="3"/>
  <c r="Q21" i="3"/>
  <c r="Q12" i="3"/>
  <c r="Q22" i="3"/>
  <c r="Q29" i="3"/>
  <c r="R9" i="3"/>
  <c r="R10" i="3"/>
  <c r="R11" i="3"/>
  <c r="R13" i="3"/>
  <c r="R14" i="3"/>
  <c r="R30" i="3"/>
  <c r="R18" i="3"/>
  <c r="R19" i="3"/>
  <c r="R20" i="3"/>
  <c r="R21" i="3"/>
  <c r="R12" i="3"/>
  <c r="R22" i="3"/>
  <c r="R29" i="3"/>
  <c r="R31" i="3"/>
  <c r="Q31" i="3"/>
  <c r="P31" i="3"/>
  <c r="O31" i="3"/>
  <c r="N31" i="3"/>
  <c r="M31" i="3"/>
  <c r="R26" i="3"/>
  <c r="I6" i="3"/>
  <c r="R27" i="3"/>
  <c r="I11" i="3"/>
  <c r="I15" i="3"/>
  <c r="I19" i="3"/>
  <c r="I23" i="3"/>
  <c r="I25" i="3"/>
  <c r="I28" i="3"/>
  <c r="I29" i="3"/>
  <c r="Q26" i="3"/>
  <c r="H6" i="3"/>
  <c r="H11" i="3"/>
  <c r="H15" i="3"/>
  <c r="H19" i="3"/>
  <c r="H23" i="3"/>
  <c r="H25" i="3"/>
  <c r="H28" i="3"/>
  <c r="H29" i="3"/>
  <c r="P26" i="3"/>
  <c r="G6" i="3"/>
  <c r="G11" i="3"/>
  <c r="G15" i="3"/>
  <c r="G19" i="3"/>
  <c r="G23" i="3"/>
  <c r="G25" i="3"/>
  <c r="G28" i="3"/>
  <c r="G29" i="3"/>
  <c r="O26" i="3"/>
  <c r="F6" i="3"/>
  <c r="F11" i="3"/>
  <c r="F15" i="3"/>
  <c r="F19" i="3"/>
  <c r="F23" i="3"/>
  <c r="F25" i="3"/>
  <c r="F28" i="3"/>
  <c r="F29" i="3"/>
  <c r="N26" i="3"/>
  <c r="E6" i="3"/>
  <c r="E11" i="3"/>
  <c r="E15" i="3"/>
  <c r="E19" i="3"/>
  <c r="E23" i="3"/>
  <c r="E25" i="3"/>
  <c r="E28" i="3"/>
  <c r="E29" i="3"/>
  <c r="D6" i="3"/>
  <c r="D13" i="3"/>
  <c r="D11" i="3"/>
  <c r="D15" i="3"/>
  <c r="D19" i="3"/>
  <c r="C6" i="3"/>
  <c r="C19" i="3"/>
  <c r="M18" i="3"/>
  <c r="M19" i="3"/>
  <c r="M20" i="3"/>
  <c r="M21" i="3"/>
  <c r="M6" i="3"/>
  <c r="M8" i="3"/>
  <c r="M9" i="3"/>
  <c r="M10" i="3"/>
  <c r="M11" i="3"/>
  <c r="M12" i="3"/>
  <c r="M22" i="3"/>
  <c r="D23" i="3"/>
  <c r="D25" i="3"/>
  <c r="D28" i="3"/>
  <c r="D29" i="3"/>
  <c r="C11" i="3"/>
  <c r="C15" i="3"/>
  <c r="C25" i="3"/>
  <c r="C28" i="3"/>
  <c r="C29" i="3"/>
  <c r="R28" i="3"/>
  <c r="Q28" i="3"/>
  <c r="P28" i="3"/>
  <c r="O28" i="3"/>
  <c r="N28" i="3"/>
  <c r="M26" i="3"/>
  <c r="M28" i="3"/>
  <c r="R16" i="3"/>
  <c r="Q16" i="3"/>
  <c r="P16" i="3"/>
  <c r="O16" i="3"/>
  <c r="N16" i="3"/>
  <c r="M16" i="3"/>
  <c r="R15" i="3"/>
  <c r="Q15" i="3"/>
  <c r="P15" i="3"/>
  <c r="O15" i="3"/>
  <c r="N15" i="3"/>
  <c r="M15" i="3"/>
  <c r="M14" i="3"/>
  <c r="E19" i="2"/>
  <c r="F19" i="2"/>
  <c r="G19" i="2"/>
  <c r="E20" i="2"/>
  <c r="F20" i="2"/>
  <c r="G20" i="2"/>
  <c r="G21" i="2"/>
  <c r="E24" i="2"/>
  <c r="E21" i="2"/>
  <c r="E6" i="2"/>
  <c r="E7" i="2"/>
  <c r="E8" i="2"/>
  <c r="E9" i="2"/>
  <c r="E10" i="2"/>
  <c r="E11" i="2"/>
  <c r="E12" i="2"/>
  <c r="E13" i="2"/>
  <c r="E14" i="2"/>
  <c r="E25" i="2"/>
  <c r="E26" i="2"/>
  <c r="E28" i="2"/>
  <c r="F24" i="2"/>
  <c r="F21" i="2"/>
  <c r="F25" i="2"/>
  <c r="F26" i="2"/>
  <c r="F28" i="2"/>
  <c r="G24" i="2"/>
  <c r="F6" i="2"/>
  <c r="F7" i="2"/>
  <c r="F8" i="2"/>
  <c r="F9" i="2"/>
  <c r="F10" i="2"/>
  <c r="F11" i="2"/>
  <c r="F12" i="2"/>
  <c r="F13" i="2"/>
  <c r="F14" i="2"/>
  <c r="G25" i="2"/>
  <c r="G26" i="2"/>
  <c r="G28" i="2"/>
  <c r="G6" i="2"/>
  <c r="G7" i="2"/>
  <c r="G8" i="2"/>
  <c r="G9" i="2"/>
  <c r="G10" i="2"/>
  <c r="G11" i="2"/>
  <c r="G12" i="2"/>
  <c r="G13" i="2"/>
  <c r="G14" i="2"/>
  <c r="C48" i="1"/>
  <c r="C50" i="1"/>
  <c r="C43" i="1"/>
  <c r="C44" i="1"/>
  <c r="C45" i="1"/>
  <c r="E49" i="1"/>
  <c r="C49" i="1"/>
  <c r="E48" i="1"/>
  <c r="C35" i="1"/>
  <c r="C37" i="1"/>
  <c r="C30" i="1"/>
  <c r="C31" i="1"/>
  <c r="C32" i="1"/>
  <c r="E36" i="1"/>
  <c r="C36" i="1"/>
  <c r="E35" i="1"/>
  <c r="C17" i="1"/>
  <c r="C18" i="1"/>
  <c r="C19" i="1"/>
  <c r="C22" i="1"/>
  <c r="C24" i="1"/>
  <c r="E23" i="1"/>
  <c r="H24" i="1"/>
  <c r="E22" i="1"/>
  <c r="C23" i="1"/>
  <c r="E12" i="1"/>
  <c r="C12" i="1"/>
  <c r="C7" i="1"/>
</calcChain>
</file>

<file path=xl/sharedStrings.xml><?xml version="1.0" encoding="utf-8"?>
<sst xmlns="http://schemas.openxmlformats.org/spreadsheetml/2006/main" count="179" uniqueCount="136">
  <si>
    <t>Ejercicio 1</t>
  </si>
  <si>
    <t>Cuenta de Resultados a 31/12/2019</t>
  </si>
  <si>
    <t>Ventas</t>
  </si>
  <si>
    <t>Coste</t>
  </si>
  <si>
    <t>Beneficio neto</t>
  </si>
  <si>
    <t>Balance a 31/10/2019</t>
  </si>
  <si>
    <t>Activos</t>
  </si>
  <si>
    <t>Deuda</t>
  </si>
  <si>
    <t>Capital propio</t>
  </si>
  <si>
    <t>Total</t>
  </si>
  <si>
    <t>Manteniendo fijo el ratio deuda entre fondos propios</t>
  </si>
  <si>
    <t>Cuenta de Resultados pro forma a 31/12/2020</t>
  </si>
  <si>
    <t>Ventas 2020 = Ventas 2019 × 1,10</t>
  </si>
  <si>
    <t>Coste 2020 = Coste 2019 × 1,10</t>
  </si>
  <si>
    <t>Beneficio = Ventas − Coste</t>
  </si>
  <si>
    <t>Balance proforma a 31/12/2020</t>
  </si>
  <si>
    <t>Activos 2020 = Activos 2019 × 1,10</t>
  </si>
  <si>
    <t>Capital propio = Capital anterior + Beneficio − Dividendos</t>
  </si>
  <si>
    <t>Dividendos = Beneficio − aumento de capital propio</t>
  </si>
  <si>
    <t>Los dividendos son 180€ y emisión de deuda</t>
  </si>
  <si>
    <t>Dividendos</t>
  </si>
  <si>
    <t>Dividendos fijados = 180 €</t>
  </si>
  <si>
    <t>Cuenta de Resultados proforma a 31/12/2020</t>
  </si>
  <si>
    <t>Ventas 2020 = 1.200 × 1,10</t>
  </si>
  <si>
    <t>Coste 2020 = 1.000 × 1,10</t>
  </si>
  <si>
    <t>Balance proforma a 31/dic/2020</t>
  </si>
  <si>
    <t>Activos 2020 = 2.000 × 1,10</t>
  </si>
  <si>
    <t>Capital propio = 1.200 + Beneficio − 180</t>
  </si>
  <si>
    <t>Total = Activos</t>
  </si>
  <si>
    <t>Los dividendos son 180€ y emisión de deuda 100€</t>
  </si>
  <si>
    <t>Deuda nueva = 100 €</t>
  </si>
  <si>
    <t>Deuda = 800 + 100</t>
  </si>
  <si>
    <t>Total pasivo + patrimonio</t>
  </si>
  <si>
    <t>Ejercicio 2</t>
  </si>
  <si>
    <t>Entradas del modelo</t>
  </si>
  <si>
    <t>Cuenta de Resultados</t>
  </si>
  <si>
    <t>Fórmula</t>
  </si>
  <si>
    <t>Tasa de crecimiento</t>
  </si>
  <si>
    <t>Ingresos</t>
  </si>
  <si>
    <t>Ventas = año anterior × 1,10</t>
  </si>
  <si>
    <t>Tasa impositiva</t>
  </si>
  <si>
    <t>Coste de productos vendidos</t>
  </si>
  <si>
    <t>Costes = ventas × 90%</t>
  </si>
  <si>
    <t>Tipo de interés</t>
  </si>
  <si>
    <t>BAII</t>
  </si>
  <si>
    <t>BAII = ingresos − costes</t>
  </si>
  <si>
    <t>Coste de los productos vendidos/ventas</t>
  </si>
  <si>
    <t>Intereses</t>
  </si>
  <si>
    <t>Intereses = deuda inicial × 10%</t>
  </si>
  <si>
    <t>Ratios distribución dividendos</t>
  </si>
  <si>
    <t>BAI</t>
  </si>
  <si>
    <t>BAI = BAII − intereses</t>
  </si>
  <si>
    <t>Impuestos</t>
  </si>
  <si>
    <t>Impuestos = BAI × 40%</t>
  </si>
  <si>
    <t>Beneficio neto = BAI − impuestos</t>
  </si>
  <si>
    <t>Dividendos = beneficio × 2/3</t>
  </si>
  <si>
    <t>Beneficios retenidos</t>
  </si>
  <si>
    <t>Beneficios retenidos = beneficio − dividendos</t>
  </si>
  <si>
    <t>Balance a final de año</t>
  </si>
  <si>
    <t xml:space="preserve">   Fondo de maniobra neto</t>
  </si>
  <si>
    <t>Fondo de maniobra = año anterior × 1,10</t>
  </si>
  <si>
    <t xml:space="preserve">   Activos fijos</t>
  </si>
  <si>
    <t>Activos fijos = año anterior × 1,10</t>
  </si>
  <si>
    <t xml:space="preserve">   Activos totales</t>
  </si>
  <si>
    <t>Activos totales = FMN + activos fijos</t>
  </si>
  <si>
    <t>Pasivo y capital propio de los accionistas</t>
  </si>
  <si>
    <t xml:space="preserve">   Deuda a largo plazo</t>
  </si>
  <si>
    <t>Deuda = deuda anterior + financiación externa</t>
  </si>
  <si>
    <t xml:space="preserve">   Capital propio de los accionistas</t>
  </si>
  <si>
    <t>Capital = capital anterior + beneficios retenidos</t>
  </si>
  <si>
    <t xml:space="preserve">   Pasivos totales + Fondos propios</t>
  </si>
  <si>
    <t>Pasivos + fondos propios = deuda + capital</t>
  </si>
  <si>
    <t>Financiación externa necesaria</t>
  </si>
  <si>
    <t>Financiación externa = activos totales − pasivos y fondos propios</t>
  </si>
  <si>
    <t>Ejercicio 3</t>
  </si>
  <si>
    <t>INVERSIONES EJECUTIVAS</t>
  </si>
  <si>
    <t xml:space="preserve"> -- datos en MM euros --</t>
  </si>
  <si>
    <t>ACTIVO</t>
  </si>
  <si>
    <t>Ingresos = año anterior × 1,20</t>
  </si>
  <si>
    <t>Activo Corriente</t>
  </si>
  <si>
    <t>Gastos (90% de los ingresos)</t>
  </si>
  <si>
    <t>Gastos = ingresos × 90%</t>
  </si>
  <si>
    <t xml:space="preserve">     Efectivo y valores</t>
  </si>
  <si>
    <t>Amortización (10% de activos fijos al principio del año)</t>
  </si>
  <si>
    <t>Amortización = 10% de activos fijos iniciales</t>
  </si>
  <si>
    <t xml:space="preserve">     Clientes</t>
  </si>
  <si>
    <t>BAII = ingresos − gastos − amortización</t>
  </si>
  <si>
    <t xml:space="preserve">     Existencias</t>
  </si>
  <si>
    <t>Interés (10% de deuda de largo plazo al principio del año)</t>
  </si>
  <si>
    <t>Interés = 10% de deuda inicial</t>
  </si>
  <si>
    <t>Impuestos (40% del BAI )</t>
  </si>
  <si>
    <t>Impuestos = (BAII − interés) × 40%</t>
  </si>
  <si>
    <t>Activo No Corriente</t>
  </si>
  <si>
    <t xml:space="preserve">Beneficio  </t>
  </si>
  <si>
    <t>Beneficio = BAII − interés − impuestos</t>
  </si>
  <si>
    <t xml:space="preserve">     Construcc e instalac</t>
  </si>
  <si>
    <t>Flujo de caja neto de operaciones (Beneficio + amortización)</t>
  </si>
  <si>
    <t>Flujo operativo = beneficio + amortización</t>
  </si>
  <si>
    <t xml:space="preserve">     - AA Inmovilizado</t>
  </si>
  <si>
    <t>Dividendos = 60% del beneficio</t>
  </si>
  <si>
    <t>Beneficio Retenido</t>
  </si>
  <si>
    <t>Beneficio retenido = beneficio − dividendos</t>
  </si>
  <si>
    <t>Total Activo:</t>
  </si>
  <si>
    <t>Beneficio por acción</t>
  </si>
  <si>
    <t>Dividendo por acción</t>
  </si>
  <si>
    <t>PASIVO</t>
  </si>
  <si>
    <t>variación fondo de maniobra: (20% INGRESOS)</t>
  </si>
  <si>
    <t>Variación FM = 20% ingresos del año − año anterior</t>
  </si>
  <si>
    <t>Pasivo Corriente</t>
  </si>
  <si>
    <t>aumento act fijos netos (25% INGRESOS)</t>
  </si>
  <si>
    <t>Aumento AF = 25% ingresos del año − año anterior</t>
  </si>
  <si>
    <t xml:space="preserve">     Deuda a C/P</t>
  </si>
  <si>
    <t>dividendo 60% beneficios</t>
  </si>
  <si>
    <t xml:space="preserve">     Proveedores</t>
  </si>
  <si>
    <t>Aplicaciones totales de recursos</t>
  </si>
  <si>
    <t>Aplicaciones = variación FM + aumento AF + dividendos</t>
  </si>
  <si>
    <t>capital externo requerido= aplica totales recursos - flujo efect opera</t>
  </si>
  <si>
    <t>Capital externo = aplicaciones − flujo operativo</t>
  </si>
  <si>
    <t>Pasivo  No Corriente</t>
  </si>
  <si>
    <t>Patrimonio Neto</t>
  </si>
  <si>
    <t xml:space="preserve">     Capital Social</t>
  </si>
  <si>
    <t>Fondo de Maniobra (20% ingresos)</t>
  </si>
  <si>
    <t>Fondo de maniobra = 20% ingresos</t>
  </si>
  <si>
    <t>Activos fijos netos (25% ingresos)</t>
  </si>
  <si>
    <t>Activos fijos netos = 25% ingresos</t>
  </si>
  <si>
    <t>Total Pasivo y Neto:</t>
  </si>
  <si>
    <t>Total de Activos Netos</t>
  </si>
  <si>
    <t>Pasivo No corriente: Deuda a Largo Plazo</t>
  </si>
  <si>
    <t>Deuda = deuda anterior + capital externo</t>
  </si>
  <si>
    <t>Capital</t>
  </si>
  <si>
    <t>Capital = capital anterior + beneficio retenido</t>
  </si>
  <si>
    <t>valor mercado capital:</t>
  </si>
  <si>
    <t>Total pasivos Largo Plazo y capital</t>
  </si>
  <si>
    <t>Total = deuda + capital</t>
  </si>
  <si>
    <t>Número medio accs:</t>
  </si>
  <si>
    <t>Precio por acción: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</si>
</sst>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#,##0.0"/>
    <numFmt numFmtId="166" formatCode="#,##0.0_ ;[Red]\-#,##0.0\ "/>
    <numFmt numFmtId="167" formatCode="#,##0.00_ ;[Red]\-#,##0.00\ "/>
    <numFmt numFmtId="168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i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i/>
      <sz val="12"/>
      <color rgb="FF000000"/>
      <name val="Arial"/>
      <family val="2"/>
    </font>
    <font>
      <b/>
      <i/>
      <u/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2"/>
      <color theme="1"/>
      <name val="Arial"/>
      <family val="2"/>
    </font>
    <font>
      <b/>
      <i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9" fontId="1" fillId="0" borderId="0"/>
    <xf numFmtId="43" fontId="1" fillId="0" borderId="0"/>
  </cellStyleXfs>
  <cellXfs count="85">
    <xf numFmtId="0" fontId="0" fillId="0" borderId="0" xfId="0"/>
    <xf numFmtId="3" fontId="4" fillId="3" borderId="4" xfId="0" applyNumberFormat="1" applyFont="1" applyFill="1" applyBorder="1"/>
    <xf numFmtId="0" fontId="5" fillId="0" borderId="0" xfId="0" applyFont="1"/>
    <xf numFmtId="0" fontId="2" fillId="0" borderId="2" xfId="0" applyFont="1" applyBorder="1"/>
    <xf numFmtId="0" fontId="2" fillId="2" borderId="2" xfId="0" applyFont="1" applyFill="1" applyBorder="1"/>
    <xf numFmtId="3" fontId="2" fillId="0" borderId="2" xfId="0" applyNumberFormat="1" applyFont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2" fillId="2" borderId="6" xfId="0" applyFont="1" applyFill="1" applyBorder="1"/>
    <xf numFmtId="0" fontId="5" fillId="4" borderId="6" xfId="0" applyFont="1" applyFill="1" applyBorder="1"/>
    <xf numFmtId="3" fontId="5" fillId="0" borderId="6" xfId="0" applyNumberFormat="1" applyFont="1" applyBorder="1"/>
    <xf numFmtId="0" fontId="5" fillId="0" borderId="6" xfId="0" applyFont="1" applyBorder="1"/>
    <xf numFmtId="0" fontId="5" fillId="2" borderId="6" xfId="0" applyFont="1" applyFill="1" applyBorder="1"/>
    <xf numFmtId="166" fontId="5" fillId="0" borderId="0" xfId="0" applyNumberFormat="1" applyFont="1"/>
    <xf numFmtId="167" fontId="5" fillId="0" borderId="0" xfId="0" applyNumberFormat="1" applyFont="1"/>
    <xf numFmtId="0" fontId="9" fillId="0" borderId="0" xfId="0" applyFont="1" applyAlignment="1">
      <alignment horizontal="center"/>
    </xf>
    <xf numFmtId="0" fontId="9" fillId="0" borderId="0" xfId="0" applyFont="1"/>
    <xf numFmtId="0" fontId="5" fillId="0" borderId="0" xfId="0" applyFont="1" applyAlignment="1">
      <alignment horizontal="center"/>
    </xf>
    <xf numFmtId="167" fontId="5" fillId="0" borderId="0" xfId="0" applyNumberFormat="1" applyFont="1" applyAlignment="1">
      <alignment horizontal="center"/>
    </xf>
    <xf numFmtId="166" fontId="6" fillId="0" borderId="0" xfId="0" applyNumberFormat="1" applyFont="1"/>
    <xf numFmtId="167" fontId="5" fillId="4" borderId="6" xfId="0" applyNumberFormat="1" applyFont="1" applyFill="1" applyBorder="1"/>
    <xf numFmtId="167" fontId="5" fillId="5" borderId="6" xfId="0" applyNumberFormat="1" applyFont="1" applyFill="1" applyBorder="1"/>
    <xf numFmtId="167" fontId="5" fillId="0" borderId="6" xfId="0" applyNumberFormat="1" applyFont="1" applyBorder="1"/>
    <xf numFmtId="0" fontId="10" fillId="0" borderId="0" xfId="0" applyFont="1"/>
    <xf numFmtId="168" fontId="5" fillId="0" borderId="0" xfId="1" applyNumberFormat="1" applyFont="1"/>
    <xf numFmtId="0" fontId="13" fillId="0" borderId="0" xfId="0" applyFont="1" applyAlignment="1">
      <alignment horizontal="center"/>
    </xf>
    <xf numFmtId="164" fontId="5" fillId="0" borderId="0" xfId="0" applyNumberFormat="1" applyFont="1"/>
    <xf numFmtId="0" fontId="11" fillId="0" borderId="0" xfId="0" applyFont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3" fontId="2" fillId="0" borderId="2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3" fontId="2" fillId="4" borderId="2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3" fontId="4" fillId="3" borderId="3" xfId="0" applyNumberFormat="1" applyFont="1" applyFill="1" applyBorder="1" applyAlignment="1">
      <alignment vertical="center" wrapText="1"/>
    </xf>
    <xf numFmtId="3" fontId="4" fillId="3" borderId="5" xfId="0" applyNumberFormat="1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vertical="center" wrapText="1"/>
    </xf>
    <xf numFmtId="3" fontId="2" fillId="4" borderId="6" xfId="0" applyNumberFormat="1" applyFont="1" applyFill="1" applyBorder="1" applyAlignment="1">
      <alignment vertical="center" wrapText="1"/>
    </xf>
    <xf numFmtId="3" fontId="2" fillId="0" borderId="6" xfId="0" applyNumberFormat="1" applyFont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5" fillId="4" borderId="6" xfId="0" applyFont="1" applyFill="1" applyBorder="1" applyAlignment="1">
      <alignment vertical="center" wrapText="1"/>
    </xf>
    <xf numFmtId="164" fontId="5" fillId="0" borderId="6" xfId="0" applyNumberFormat="1" applyFont="1" applyBorder="1" applyAlignment="1">
      <alignment vertical="center" wrapText="1"/>
    </xf>
    <xf numFmtId="164" fontId="5" fillId="2" borderId="6" xfId="0" applyNumberFormat="1" applyFont="1" applyFill="1" applyBorder="1" applyAlignment="1">
      <alignment vertical="center" wrapText="1"/>
    </xf>
    <xf numFmtId="3" fontId="5" fillId="0" borderId="6" xfId="0" applyNumberFormat="1" applyFont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2" fontId="5" fillId="0" borderId="6" xfId="0" applyNumberFormat="1" applyFont="1" applyBorder="1" applyAlignment="1">
      <alignment vertical="center" wrapText="1"/>
    </xf>
    <xf numFmtId="165" fontId="5" fillId="0" borderId="6" xfId="0" applyNumberFormat="1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3" fontId="7" fillId="0" borderId="6" xfId="0" applyNumberFormat="1" applyFont="1" applyBorder="1" applyAlignment="1">
      <alignment vertical="center" wrapText="1"/>
    </xf>
    <xf numFmtId="165" fontId="7" fillId="0" borderId="6" xfId="0" applyNumberFormat="1" applyFont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10" fillId="4" borderId="6" xfId="0" applyFont="1" applyFill="1" applyBorder="1" applyAlignment="1">
      <alignment vertical="center" wrapText="1"/>
    </xf>
    <xf numFmtId="167" fontId="8" fillId="4" borderId="6" xfId="2" applyNumberFormat="1" applyFont="1" applyFill="1" applyBorder="1" applyAlignment="1">
      <alignment vertical="center" wrapText="1"/>
    </xf>
    <xf numFmtId="167" fontId="5" fillId="0" borderId="6" xfId="0" applyNumberFormat="1" applyFont="1" applyBorder="1" applyAlignment="1">
      <alignment vertical="center" wrapText="1"/>
    </xf>
    <xf numFmtId="167" fontId="5" fillId="4" borderId="6" xfId="0" applyNumberFormat="1" applyFont="1" applyFill="1" applyBorder="1" applyAlignment="1">
      <alignment vertical="center" wrapText="1"/>
    </xf>
    <xf numFmtId="167" fontId="6" fillId="5" borderId="6" xfId="0" applyNumberFormat="1" applyFont="1" applyFill="1" applyBorder="1" applyAlignment="1">
      <alignment vertical="center" wrapText="1"/>
    </xf>
    <xf numFmtId="167" fontId="8" fillId="0" borderId="6" xfId="2" applyNumberFormat="1" applyFont="1" applyBorder="1" applyAlignment="1">
      <alignment vertical="center" wrapText="1"/>
    </xf>
    <xf numFmtId="166" fontId="5" fillId="4" borderId="6" xfId="0" applyNumberFormat="1" applyFont="1" applyFill="1" applyBorder="1" applyAlignment="1">
      <alignment vertical="center" wrapText="1"/>
    </xf>
    <xf numFmtId="167" fontId="6" fillId="0" borderId="6" xfId="0" applyNumberFormat="1" applyFont="1" applyBorder="1" applyAlignment="1">
      <alignment vertical="center" wrapText="1"/>
    </xf>
    <xf numFmtId="166" fontId="5" fillId="0" borderId="0" xfId="0" applyNumberFormat="1" applyFont="1" applyAlignment="1">
      <alignment vertical="center" wrapText="1"/>
    </xf>
    <xf numFmtId="167" fontId="5" fillId="0" borderId="0" xfId="0" applyNumberFormat="1" applyFont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10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12" fillId="0" borderId="0" xfId="0" applyFont="1" applyAlignment="1">
      <alignment horizontal="center"/>
    </xf>
    <xf numFmtId="0" fontId="5" fillId="0" borderId="0" xfId="0" applyFont="1"/>
    <xf numFmtId="0" fontId="3" fillId="0" borderId="2" xfId="0" applyFont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3" fillId="2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3" fillId="2" borderId="6" xfId="0" applyFont="1" applyFill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3" fillId="4" borderId="15" xfId="0" applyFont="1" applyFill="1" applyBorder="1" applyAlignment="1">
      <alignment vertical="center" wrapText="1"/>
    </xf>
    <xf numFmtId="0" fontId="0" fillId="0" borderId="1" xfId="0" applyBorder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3">
    <cellStyle name="Migliaia" xfId="2" builtinId="3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H50"/>
  <sheetViews>
    <sheetView tabSelected="1" topLeftCell="A29" zoomScale="86" zoomScaleNormal="150" workbookViewId="0">
      <selection activeCell="C41" sqref="C41"/>
    </sheetView>
  </sheetViews>
  <sheetFormatPr baseColWidth="10" defaultColWidth="10.6640625" defaultRowHeight="16" x14ac:dyDescent="0.2"/>
  <cols>
    <col min="1" max="1" width="10.6640625" style="2"/>
    <col min="2" max="2" width="16.83203125" style="2" customWidth="1"/>
    <col min="3" max="3" width="10.6640625" style="2" customWidth="1"/>
    <col min="4" max="4" width="23" style="2" customWidth="1"/>
    <col min="5" max="5" width="14.6640625" style="2" customWidth="1"/>
    <col min="6" max="6" width="6.33203125" style="2" customWidth="1"/>
    <col min="7" max="7" width="44.6640625" style="2" bestFit="1" customWidth="1"/>
    <col min="8" max="16384" width="10.6640625" style="2"/>
  </cols>
  <sheetData>
    <row r="1" spans="2:5" ht="17" x14ac:dyDescent="0.2">
      <c r="B1" s="27" t="s">
        <v>0</v>
      </c>
    </row>
    <row r="2" spans="2:5" x14ac:dyDescent="0.2">
      <c r="B2" s="23"/>
    </row>
    <row r="3" spans="2:5" ht="16" customHeight="1" thickBot="1" x14ac:dyDescent="0.25"/>
    <row r="4" spans="2:5" ht="16" customHeight="1" thickBot="1" x14ac:dyDescent="0.25">
      <c r="B4" s="74" t="s">
        <v>1</v>
      </c>
      <c r="C4" s="71"/>
      <c r="D4" s="71"/>
      <c r="E4" s="72"/>
    </row>
    <row r="5" spans="2:5" ht="16" customHeight="1" thickBot="1" x14ac:dyDescent="0.25">
      <c r="B5" s="28" t="s">
        <v>2</v>
      </c>
      <c r="C5" s="29">
        <v>1200</v>
      </c>
      <c r="D5" s="3"/>
      <c r="E5" s="3"/>
    </row>
    <row r="6" spans="2:5" ht="16" customHeight="1" thickBot="1" x14ac:dyDescent="0.25">
      <c r="B6" s="28" t="s">
        <v>3</v>
      </c>
      <c r="C6" s="29">
        <v>1000</v>
      </c>
      <c r="D6" s="3"/>
      <c r="E6" s="3"/>
    </row>
    <row r="7" spans="2:5" ht="16" customHeight="1" thickBot="1" x14ac:dyDescent="0.25">
      <c r="B7" s="28" t="s">
        <v>4</v>
      </c>
      <c r="C7" s="29">
        <f>+C5-C6</f>
        <v>200</v>
      </c>
      <c r="D7" s="3"/>
      <c r="E7" s="3"/>
    </row>
    <row r="8" spans="2:5" ht="16" customHeight="1" thickBot="1" x14ac:dyDescent="0.25">
      <c r="B8" s="24"/>
      <c r="C8" s="68"/>
      <c r="D8" s="69"/>
      <c r="E8" s="69"/>
    </row>
    <row r="9" spans="2:5" ht="16" customHeight="1" thickBot="1" x14ac:dyDescent="0.25">
      <c r="B9" s="73" t="s">
        <v>5</v>
      </c>
      <c r="C9" s="71"/>
      <c r="D9" s="71"/>
      <c r="E9" s="72"/>
    </row>
    <row r="10" spans="2:5" ht="16" customHeight="1" thickBot="1" x14ac:dyDescent="0.25">
      <c r="B10" s="30" t="s">
        <v>6</v>
      </c>
      <c r="C10" s="29">
        <v>2000</v>
      </c>
      <c r="D10" s="30" t="s">
        <v>7</v>
      </c>
      <c r="E10" s="29">
        <v>800</v>
      </c>
    </row>
    <row r="11" spans="2:5" ht="16" customHeight="1" thickBot="1" x14ac:dyDescent="0.25">
      <c r="B11" s="4"/>
      <c r="C11" s="3"/>
      <c r="D11" s="30" t="s">
        <v>8</v>
      </c>
      <c r="E11" s="29">
        <v>1200</v>
      </c>
    </row>
    <row r="12" spans="2:5" ht="16" customHeight="1" thickBot="1" x14ac:dyDescent="0.25">
      <c r="B12" s="30" t="s">
        <v>9</v>
      </c>
      <c r="C12" s="29">
        <f>+C10</f>
        <v>2000</v>
      </c>
      <c r="D12" s="30" t="s">
        <v>9</v>
      </c>
      <c r="E12" s="29">
        <f>+E10+E11</f>
        <v>2000</v>
      </c>
    </row>
    <row r="14" spans="2:5" ht="16" customHeight="1" thickBot="1" x14ac:dyDescent="0.25"/>
    <row r="15" spans="2:5" ht="16" customHeight="1" thickBot="1" x14ac:dyDescent="0.25">
      <c r="B15" s="70" t="s">
        <v>10</v>
      </c>
      <c r="C15" s="71"/>
      <c r="D15" s="71"/>
      <c r="E15" s="72"/>
    </row>
    <row r="16" spans="2:5" ht="16" customHeight="1" thickBot="1" x14ac:dyDescent="0.25">
      <c r="B16" s="74" t="s">
        <v>11</v>
      </c>
      <c r="C16" s="71"/>
      <c r="D16" s="71"/>
      <c r="E16" s="72"/>
    </row>
    <row r="17" spans="2:8" ht="16" customHeight="1" thickBot="1" x14ac:dyDescent="0.25">
      <c r="B17" s="31" t="s">
        <v>2</v>
      </c>
      <c r="C17" s="29">
        <f>C5*1.1</f>
        <v>1320</v>
      </c>
      <c r="D17" s="5"/>
      <c r="E17" s="5"/>
      <c r="G17" s="32" t="s">
        <v>12</v>
      </c>
    </row>
    <row r="18" spans="2:8" ht="16" customHeight="1" thickBot="1" x14ac:dyDescent="0.25">
      <c r="B18" s="31" t="s">
        <v>3</v>
      </c>
      <c r="C18" s="29">
        <f>C6*1.1</f>
        <v>1100</v>
      </c>
      <c r="D18" s="5"/>
      <c r="E18" s="5"/>
      <c r="G18" s="32" t="s">
        <v>13</v>
      </c>
    </row>
    <row r="19" spans="2:8" ht="16" customHeight="1" thickBot="1" x14ac:dyDescent="0.25">
      <c r="B19" s="31" t="s">
        <v>4</v>
      </c>
      <c r="C19" s="29">
        <f>C17-C18</f>
        <v>220</v>
      </c>
      <c r="D19" s="5"/>
      <c r="E19" s="5"/>
      <c r="G19" s="32" t="s">
        <v>14</v>
      </c>
    </row>
    <row r="20" spans="2:8" ht="16" customHeight="1" thickBot="1" x14ac:dyDescent="0.25">
      <c r="B20" s="24"/>
      <c r="C20" s="68"/>
      <c r="D20" s="69"/>
      <c r="E20" s="69"/>
    </row>
    <row r="21" spans="2:8" ht="16" customHeight="1" thickBot="1" x14ac:dyDescent="0.25">
      <c r="B21" s="73" t="s">
        <v>15</v>
      </c>
      <c r="C21" s="71"/>
      <c r="D21" s="71"/>
      <c r="E21" s="72"/>
    </row>
    <row r="22" spans="2:8" ht="16" customHeight="1" thickBot="1" x14ac:dyDescent="0.25">
      <c r="B22" s="30" t="s">
        <v>6</v>
      </c>
      <c r="C22" s="29">
        <f>C10*1.1</f>
        <v>2200</v>
      </c>
      <c r="D22" s="30" t="s">
        <v>7</v>
      </c>
      <c r="E22" s="29">
        <f>C22*(E10/E11)/(1+E10/E11)</f>
        <v>880</v>
      </c>
      <c r="G22" s="32" t="s">
        <v>16</v>
      </c>
    </row>
    <row r="23" spans="2:8" ht="16" customHeight="1" thickBot="1" x14ac:dyDescent="0.25">
      <c r="B23" s="4"/>
      <c r="C23" s="29">
        <f>E22</f>
        <v>880</v>
      </c>
      <c r="D23" s="30" t="s">
        <v>8</v>
      </c>
      <c r="E23" s="29">
        <f>C11+(C19-C24)</f>
        <v>-1980</v>
      </c>
      <c r="G23" s="32" t="s">
        <v>17</v>
      </c>
    </row>
    <row r="24" spans="2:8" ht="16" customHeight="1" thickBot="1" x14ac:dyDescent="0.25">
      <c r="B24" s="30" t="s">
        <v>9</v>
      </c>
      <c r="C24" s="29">
        <f>C22</f>
        <v>2200</v>
      </c>
      <c r="D24" s="30" t="s">
        <v>9</v>
      </c>
      <c r="E24" s="5"/>
      <c r="G24" s="33" t="s">
        <v>18</v>
      </c>
      <c r="H24" s="34">
        <f>C19-(E23-C11)</f>
        <v>2200</v>
      </c>
    </row>
    <row r="26" spans="2:8" ht="16" customHeight="1" thickBot="1" x14ac:dyDescent="0.25"/>
    <row r="27" spans="2:8" ht="16" customHeight="1" thickBot="1" x14ac:dyDescent="0.25">
      <c r="B27" s="70" t="s">
        <v>19</v>
      </c>
      <c r="C27" s="71"/>
      <c r="D27" s="71"/>
      <c r="E27" s="72"/>
    </row>
    <row r="28" spans="2:8" ht="16" customHeight="1" thickBot="1" x14ac:dyDescent="0.25">
      <c r="B28" s="33" t="s">
        <v>20</v>
      </c>
      <c r="C28" s="35">
        <v>180</v>
      </c>
      <c r="D28" s="25"/>
      <c r="E28" s="25"/>
      <c r="G28" s="32" t="s">
        <v>21</v>
      </c>
    </row>
    <row r="29" spans="2:8" x14ac:dyDescent="0.2">
      <c r="B29" s="75" t="s">
        <v>22</v>
      </c>
      <c r="C29" s="76"/>
      <c r="D29" s="76"/>
      <c r="E29" s="77"/>
    </row>
    <row r="30" spans="2:8" ht="17" x14ac:dyDescent="0.2">
      <c r="B30" s="36" t="s">
        <v>2</v>
      </c>
      <c r="C30" s="37">
        <f>C5*1.1</f>
        <v>1320</v>
      </c>
      <c r="D30" s="11"/>
      <c r="E30" s="11"/>
      <c r="G30" s="32" t="s">
        <v>23</v>
      </c>
    </row>
    <row r="31" spans="2:8" ht="17" x14ac:dyDescent="0.2">
      <c r="B31" s="36" t="s">
        <v>3</v>
      </c>
      <c r="C31" s="37">
        <f>C6*1.1</f>
        <v>1100</v>
      </c>
      <c r="D31" s="11"/>
      <c r="E31" s="11"/>
      <c r="G31" s="32" t="s">
        <v>24</v>
      </c>
    </row>
    <row r="32" spans="2:8" ht="17" x14ac:dyDescent="0.2">
      <c r="B32" s="36" t="s">
        <v>4</v>
      </c>
      <c r="C32" s="37">
        <f>C30-C31</f>
        <v>220</v>
      </c>
      <c r="D32" s="11"/>
      <c r="E32" s="11"/>
      <c r="G32" s="32" t="s">
        <v>14</v>
      </c>
    </row>
    <row r="33" spans="2:7" ht="16" customHeight="1" thickBot="1" x14ac:dyDescent="0.25">
      <c r="B33" s="24"/>
      <c r="C33" s="68"/>
      <c r="D33" s="69"/>
      <c r="E33" s="69"/>
    </row>
    <row r="34" spans="2:7" ht="16" customHeight="1" thickBot="1" x14ac:dyDescent="0.25">
      <c r="B34" s="73" t="s">
        <v>25</v>
      </c>
      <c r="C34" s="71"/>
      <c r="D34" s="71"/>
      <c r="E34" s="72"/>
    </row>
    <row r="35" spans="2:7" ht="16" customHeight="1" thickBot="1" x14ac:dyDescent="0.25">
      <c r="B35" s="30" t="s">
        <v>6</v>
      </c>
      <c r="C35" s="29">
        <f>C10*1.1</f>
        <v>2200</v>
      </c>
      <c r="D35" s="30" t="s">
        <v>7</v>
      </c>
      <c r="E35" s="29">
        <f>C35-C36</f>
        <v>2160</v>
      </c>
      <c r="G35" s="32" t="s">
        <v>26</v>
      </c>
    </row>
    <row r="36" spans="2:7" ht="16" customHeight="1" thickBot="1" x14ac:dyDescent="0.25">
      <c r="B36" s="4"/>
      <c r="C36" s="29">
        <f>C11+(C32-C28)</f>
        <v>40</v>
      </c>
      <c r="D36" s="30" t="s">
        <v>8</v>
      </c>
      <c r="E36" s="29">
        <f>C11+(C32-C28)</f>
        <v>40</v>
      </c>
      <c r="G36" s="32" t="s">
        <v>27</v>
      </c>
    </row>
    <row r="37" spans="2:7" ht="16" customHeight="1" thickBot="1" x14ac:dyDescent="0.25">
      <c r="B37" s="30" t="s">
        <v>9</v>
      </c>
      <c r="C37" s="29">
        <f>C35</f>
        <v>2200</v>
      </c>
      <c r="D37" s="30" t="s">
        <v>9</v>
      </c>
      <c r="E37" s="5"/>
      <c r="G37" s="32" t="s">
        <v>28</v>
      </c>
    </row>
    <row r="39" spans="2:7" ht="16" customHeight="1" thickBot="1" x14ac:dyDescent="0.25"/>
    <row r="40" spans="2:7" ht="16" customHeight="1" thickBot="1" x14ac:dyDescent="0.25">
      <c r="B40" s="70" t="s">
        <v>29</v>
      </c>
      <c r="C40" s="71"/>
      <c r="D40" s="71"/>
      <c r="E40" s="72"/>
    </row>
    <row r="41" spans="2:7" ht="16" customHeight="1" thickBot="1" x14ac:dyDescent="0.25">
      <c r="B41" s="35" t="s">
        <v>20</v>
      </c>
      <c r="C41" s="35">
        <v>100</v>
      </c>
      <c r="D41" s="35" t="s">
        <v>7</v>
      </c>
      <c r="E41" s="1"/>
      <c r="G41" s="32" t="s">
        <v>30</v>
      </c>
    </row>
    <row r="42" spans="2:7" x14ac:dyDescent="0.2">
      <c r="B42" s="75" t="s">
        <v>22</v>
      </c>
      <c r="C42" s="76"/>
      <c r="D42" s="76"/>
      <c r="E42" s="77"/>
    </row>
    <row r="43" spans="2:7" ht="17" x14ac:dyDescent="0.2">
      <c r="B43" s="36" t="s">
        <v>2</v>
      </c>
      <c r="C43" s="37">
        <f>C5*1.1</f>
        <v>1320</v>
      </c>
      <c r="D43" s="11"/>
      <c r="E43" s="11"/>
      <c r="G43" s="32" t="s">
        <v>23</v>
      </c>
    </row>
    <row r="44" spans="2:7" ht="17" x14ac:dyDescent="0.2">
      <c r="B44" s="36" t="s">
        <v>3</v>
      </c>
      <c r="C44" s="37">
        <f>C6*1.1</f>
        <v>1100</v>
      </c>
      <c r="D44" s="11"/>
      <c r="E44" s="11"/>
      <c r="G44" s="32" t="s">
        <v>24</v>
      </c>
    </row>
    <row r="45" spans="2:7" ht="17" x14ac:dyDescent="0.2">
      <c r="B45" s="36" t="s">
        <v>4</v>
      </c>
      <c r="C45" s="37">
        <f>C43-C44</f>
        <v>220</v>
      </c>
      <c r="D45" s="11"/>
      <c r="E45" s="11"/>
      <c r="G45" s="32" t="s">
        <v>14</v>
      </c>
    </row>
    <row r="46" spans="2:7" x14ac:dyDescent="0.2">
      <c r="B46" s="7"/>
      <c r="C46" s="7"/>
    </row>
    <row r="47" spans="2:7" x14ac:dyDescent="0.2">
      <c r="B47" s="78" t="s">
        <v>15</v>
      </c>
      <c r="C47" s="79"/>
      <c r="D47" s="79"/>
      <c r="E47" s="80"/>
    </row>
    <row r="48" spans="2:7" ht="17" x14ac:dyDescent="0.2">
      <c r="B48" s="39" t="s">
        <v>6</v>
      </c>
      <c r="C48" s="37">
        <f>C10*1.1</f>
        <v>2200</v>
      </c>
      <c r="D48" s="39" t="s">
        <v>7</v>
      </c>
      <c r="E48" s="37">
        <f>E10+C41</f>
        <v>900</v>
      </c>
      <c r="G48" s="32" t="s">
        <v>31</v>
      </c>
    </row>
    <row r="49" spans="2:7" ht="17" x14ac:dyDescent="0.2">
      <c r="B49" s="8"/>
      <c r="C49" s="37">
        <f>C11+(C45-C41)</f>
        <v>120</v>
      </c>
      <c r="D49" s="39" t="s">
        <v>8</v>
      </c>
      <c r="E49" s="37">
        <f>C11+(C45-C41)</f>
        <v>120</v>
      </c>
      <c r="G49" s="32" t="s">
        <v>27</v>
      </c>
    </row>
    <row r="50" spans="2:7" ht="17" x14ac:dyDescent="0.2">
      <c r="B50" s="39" t="s">
        <v>9</v>
      </c>
      <c r="C50" s="37">
        <f>C48</f>
        <v>2200</v>
      </c>
      <c r="D50" s="39" t="s">
        <v>9</v>
      </c>
      <c r="E50" s="6"/>
      <c r="G50" s="32" t="s">
        <v>32</v>
      </c>
    </row>
  </sheetData>
  <mergeCells count="14">
    <mergeCell ref="B47:E47"/>
    <mergeCell ref="B42:E42"/>
    <mergeCell ref="C20:E20"/>
    <mergeCell ref="B4:E4"/>
    <mergeCell ref="C8:E8"/>
    <mergeCell ref="B21:E21"/>
    <mergeCell ref="B29:E29"/>
    <mergeCell ref="B15:E15"/>
    <mergeCell ref="B16:E16"/>
    <mergeCell ref="C33:E33"/>
    <mergeCell ref="B40:E40"/>
    <mergeCell ref="B9:E9"/>
    <mergeCell ref="B27:E27"/>
    <mergeCell ref="B34:E34"/>
  </mergeCells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H28"/>
  <sheetViews>
    <sheetView zoomScaleNormal="100" workbookViewId="0"/>
  </sheetViews>
  <sheetFormatPr baseColWidth="10" defaultColWidth="10.6640625" defaultRowHeight="16" x14ac:dyDescent="0.2"/>
  <cols>
    <col min="1" max="1" width="44.33203125" style="2" customWidth="1"/>
    <col min="2" max="3" width="10.6640625" style="2" customWidth="1"/>
    <col min="4" max="4" width="37.1640625" style="2" bestFit="1" customWidth="1"/>
    <col min="5" max="5" width="10.6640625" style="2" customWidth="1"/>
    <col min="6" max="7" width="10.6640625" style="2"/>
    <col min="8" max="8" width="42" customWidth="1"/>
    <col min="9" max="16384" width="10.6640625" style="2"/>
  </cols>
  <sheetData>
    <row r="1" spans="1:8" ht="17" x14ac:dyDescent="0.2">
      <c r="A1" s="27" t="s">
        <v>33</v>
      </c>
    </row>
    <row r="2" spans="1:8" x14ac:dyDescent="0.2">
      <c r="A2" s="23"/>
    </row>
    <row r="5" spans="1:8" ht="17" x14ac:dyDescent="0.2">
      <c r="A5" s="81" t="s">
        <v>34</v>
      </c>
      <c r="B5" s="82"/>
      <c r="D5" s="40" t="s">
        <v>35</v>
      </c>
      <c r="E5" s="40">
        <v>2020</v>
      </c>
      <c r="F5" s="40">
        <v>2021</v>
      </c>
      <c r="G5" s="40">
        <v>2022</v>
      </c>
      <c r="H5" s="32" t="s">
        <v>36</v>
      </c>
    </row>
    <row r="6" spans="1:8" ht="17" x14ac:dyDescent="0.2">
      <c r="A6" s="41" t="s">
        <v>37</v>
      </c>
      <c r="B6" s="42">
        <v>0.1</v>
      </c>
      <c r="D6" s="43" t="s">
        <v>38</v>
      </c>
      <c r="E6" s="44">
        <f>2000*(1+$B$6)</f>
        <v>2200</v>
      </c>
      <c r="F6" s="44">
        <f>E6*(1+$B$6)</f>
        <v>2420</v>
      </c>
      <c r="G6" s="44">
        <f>F6*(1+$B$6)</f>
        <v>2662</v>
      </c>
      <c r="H6" s="32" t="s">
        <v>39</v>
      </c>
    </row>
    <row r="7" spans="1:8" ht="17" x14ac:dyDescent="0.2">
      <c r="A7" s="41" t="s">
        <v>40</v>
      </c>
      <c r="B7" s="42">
        <v>0.4</v>
      </c>
      <c r="D7" s="45" t="s">
        <v>41</v>
      </c>
      <c r="E7" s="44">
        <f>E6*$B$9</f>
        <v>1980</v>
      </c>
      <c r="F7" s="44">
        <f>F6*$B$9</f>
        <v>2178</v>
      </c>
      <c r="G7" s="44">
        <f>G6*$B$9</f>
        <v>2395.8000000000002</v>
      </c>
      <c r="H7" s="32" t="s">
        <v>42</v>
      </c>
    </row>
    <row r="8" spans="1:8" ht="17" x14ac:dyDescent="0.2">
      <c r="A8" s="41" t="s">
        <v>43</v>
      </c>
      <c r="B8" s="42">
        <v>0.1</v>
      </c>
      <c r="D8" s="45" t="s">
        <v>44</v>
      </c>
      <c r="E8" s="44">
        <f>E6-E7</f>
        <v>220</v>
      </c>
      <c r="F8" s="44">
        <f>F6-F7</f>
        <v>242</v>
      </c>
      <c r="G8" s="44">
        <f>G6-G7</f>
        <v>266.19999999999982</v>
      </c>
      <c r="H8" s="32" t="s">
        <v>45</v>
      </c>
    </row>
    <row r="9" spans="1:8" ht="17" x14ac:dyDescent="0.2">
      <c r="A9" s="41" t="s">
        <v>46</v>
      </c>
      <c r="B9" s="42">
        <v>0.9</v>
      </c>
      <c r="D9" s="45" t="s">
        <v>47</v>
      </c>
      <c r="E9" s="46">
        <f>E24*$B$8</f>
        <v>40</v>
      </c>
      <c r="F9" s="46">
        <f>F24*$B$8</f>
        <v>46.400000000000027</v>
      </c>
      <c r="G9" s="46">
        <f>G24*$B$8</f>
        <v>53.800000000000026</v>
      </c>
      <c r="H9" s="32" t="s">
        <v>48</v>
      </c>
    </row>
    <row r="10" spans="1:8" ht="17" x14ac:dyDescent="0.2">
      <c r="A10" s="41" t="s">
        <v>49</v>
      </c>
      <c r="B10" s="47">
        <v>0.66666666666666663</v>
      </c>
      <c r="D10" s="45" t="s">
        <v>50</v>
      </c>
      <c r="E10" s="44">
        <f>E8-E9</f>
        <v>180</v>
      </c>
      <c r="F10" s="44">
        <f>F8-F9</f>
        <v>195.59999999999997</v>
      </c>
      <c r="G10" s="44">
        <f>G8-G9</f>
        <v>212.39999999999981</v>
      </c>
      <c r="H10" s="32" t="s">
        <v>51</v>
      </c>
    </row>
    <row r="11" spans="1:8" ht="17" x14ac:dyDescent="0.2">
      <c r="D11" s="45" t="s">
        <v>52</v>
      </c>
      <c r="E11" s="44">
        <f>E10*$B$7</f>
        <v>72</v>
      </c>
      <c r="F11" s="44">
        <f>F10*$B$7</f>
        <v>78.239999999999995</v>
      </c>
      <c r="G11" s="44">
        <f>G10*$B$7</f>
        <v>84.959999999999923</v>
      </c>
      <c r="H11" s="32" t="s">
        <v>53</v>
      </c>
    </row>
    <row r="12" spans="1:8" ht="17" x14ac:dyDescent="0.2">
      <c r="D12" s="45" t="s">
        <v>4</v>
      </c>
      <c r="E12" s="44">
        <f>E10-E11</f>
        <v>108</v>
      </c>
      <c r="F12" s="44">
        <f>F10-F11</f>
        <v>117.35999999999997</v>
      </c>
      <c r="G12" s="44">
        <f>G10-G11</f>
        <v>127.43999999999988</v>
      </c>
      <c r="H12" s="32" t="s">
        <v>54</v>
      </c>
    </row>
    <row r="13" spans="1:8" ht="17" x14ac:dyDescent="0.2">
      <c r="B13" s="26"/>
      <c r="D13" s="45" t="s">
        <v>20</v>
      </c>
      <c r="E13" s="46">
        <f>E12*$B$10</f>
        <v>72</v>
      </c>
      <c r="F13" s="46">
        <f>F12*$B$10</f>
        <v>78.239999999999981</v>
      </c>
      <c r="G13" s="46">
        <f>G12*$B$10</f>
        <v>84.959999999999923</v>
      </c>
      <c r="H13" s="32" t="s">
        <v>55</v>
      </c>
    </row>
    <row r="14" spans="1:8" ht="17" x14ac:dyDescent="0.2">
      <c r="B14" s="26"/>
      <c r="D14" s="45" t="s">
        <v>56</v>
      </c>
      <c r="E14" s="44">
        <f>E12-E13</f>
        <v>36</v>
      </c>
      <c r="F14" s="48">
        <f>F12-F13</f>
        <v>39.11999999999999</v>
      </c>
      <c r="G14" s="48">
        <f>G12-G13</f>
        <v>42.479999999999961</v>
      </c>
      <c r="H14" s="32" t="s">
        <v>57</v>
      </c>
    </row>
    <row r="17" spans="4:8" ht="17" x14ac:dyDescent="0.2">
      <c r="D17" s="40" t="s">
        <v>58</v>
      </c>
      <c r="E17" s="40">
        <v>2020</v>
      </c>
      <c r="F17" s="40">
        <v>2021</v>
      </c>
      <c r="G17" s="40">
        <v>2022</v>
      </c>
    </row>
    <row r="18" spans="4:8" ht="17" x14ac:dyDescent="0.2">
      <c r="D18" s="45" t="s">
        <v>6</v>
      </c>
      <c r="E18" s="11"/>
      <c r="F18" s="11"/>
      <c r="G18" s="11"/>
    </row>
    <row r="19" spans="4:8" ht="17" x14ac:dyDescent="0.2">
      <c r="D19" s="45" t="s">
        <v>59</v>
      </c>
      <c r="E19" s="44">
        <f>200*(1+$B$6)</f>
        <v>220.00000000000003</v>
      </c>
      <c r="F19" s="44">
        <f>E19*(1+$B$6)</f>
        <v>242.00000000000006</v>
      </c>
      <c r="G19" s="44">
        <f>F19*(1+$B$6)</f>
        <v>266.2000000000001</v>
      </c>
      <c r="H19" s="32" t="s">
        <v>60</v>
      </c>
    </row>
    <row r="20" spans="4:8" ht="17" x14ac:dyDescent="0.2">
      <c r="D20" s="45" t="s">
        <v>61</v>
      </c>
      <c r="E20" s="44">
        <f>800*(1+$B$6)</f>
        <v>880.00000000000011</v>
      </c>
      <c r="F20" s="44">
        <f>E20*(1+$B$6)</f>
        <v>968.00000000000023</v>
      </c>
      <c r="G20" s="44">
        <f>F20*(1+$B$6)</f>
        <v>1064.8000000000004</v>
      </c>
      <c r="H20" s="32" t="s">
        <v>62</v>
      </c>
    </row>
    <row r="21" spans="4:8" ht="17" x14ac:dyDescent="0.2">
      <c r="D21" s="45" t="s">
        <v>63</v>
      </c>
      <c r="E21" s="44">
        <f>E19+E20</f>
        <v>1100.0000000000002</v>
      </c>
      <c r="F21" s="44">
        <f>F19+F20</f>
        <v>1210.0000000000002</v>
      </c>
      <c r="G21" s="44">
        <f>G19+G20</f>
        <v>1331.0000000000005</v>
      </c>
      <c r="H21" s="32" t="s">
        <v>64</v>
      </c>
    </row>
    <row r="22" spans="4:8" x14ac:dyDescent="0.2">
      <c r="D22" s="12"/>
      <c r="E22" s="10"/>
      <c r="F22" s="10"/>
      <c r="G22" s="10"/>
    </row>
    <row r="23" spans="4:8" ht="34" x14ac:dyDescent="0.2">
      <c r="D23" s="45" t="s">
        <v>65</v>
      </c>
      <c r="E23" s="10"/>
      <c r="F23" s="10"/>
      <c r="G23" s="10"/>
    </row>
    <row r="24" spans="4:8" ht="17" x14ac:dyDescent="0.2">
      <c r="D24" s="45" t="s">
        <v>66</v>
      </c>
      <c r="E24" s="44">
        <f>400</f>
        <v>400</v>
      </c>
      <c r="F24" s="44">
        <f>E24+E28</f>
        <v>464.00000000000023</v>
      </c>
      <c r="G24" s="44">
        <f>F24+F28</f>
        <v>538.00000000000023</v>
      </c>
      <c r="H24" s="32" t="s">
        <v>67</v>
      </c>
    </row>
    <row r="25" spans="4:8" ht="17" x14ac:dyDescent="0.2">
      <c r="D25" s="45" t="s">
        <v>68</v>
      </c>
      <c r="E25" s="44">
        <f>600+E14</f>
        <v>636</v>
      </c>
      <c r="F25" s="44">
        <f>E25+E14</f>
        <v>672</v>
      </c>
      <c r="G25" s="44">
        <f>F25+F14</f>
        <v>711.12</v>
      </c>
      <c r="H25" s="32" t="s">
        <v>69</v>
      </c>
    </row>
    <row r="26" spans="4:8" ht="17" x14ac:dyDescent="0.2">
      <c r="D26" s="45" t="s">
        <v>70</v>
      </c>
      <c r="E26" s="44">
        <f>E24+E25</f>
        <v>1036</v>
      </c>
      <c r="F26" s="44">
        <f>F24+F25</f>
        <v>1136.0000000000002</v>
      </c>
      <c r="G26" s="44">
        <f>G24+G25</f>
        <v>1249.1200000000003</v>
      </c>
      <c r="H26" s="32" t="s">
        <v>71</v>
      </c>
    </row>
    <row r="28" spans="4:8" ht="32" x14ac:dyDescent="0.2">
      <c r="D28" s="38" t="s">
        <v>72</v>
      </c>
      <c r="E28" s="49">
        <f>E21-E26</f>
        <v>64.000000000000227</v>
      </c>
      <c r="F28" s="50">
        <f>F21-F26</f>
        <v>74</v>
      </c>
      <c r="G28" s="51">
        <f>G21-G26</f>
        <v>81.880000000000109</v>
      </c>
      <c r="H28" s="32" t="s">
        <v>73</v>
      </c>
    </row>
  </sheetData>
  <mergeCells count="1">
    <mergeCell ref="A5:B5"/>
  </mergeCells>
  <pageMargins left="0.7" right="0.7" top="0.75" bottom="0.75" header="0.3" footer="0.3"/>
  <pageSetup paperSize="9" orientation="portrait" horizontalDpi="1200" verticalDpi="1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41"/>
  <sheetViews>
    <sheetView workbookViewId="0">
      <selection activeCell="N9" sqref="N9"/>
    </sheetView>
  </sheetViews>
  <sheetFormatPr baseColWidth="10" defaultColWidth="48" defaultRowHeight="16" x14ac:dyDescent="0.2"/>
  <cols>
    <col min="1" max="1" width="4.33203125" style="2" customWidth="1"/>
    <col min="2" max="2" width="22.6640625" style="2" customWidth="1"/>
    <col min="3" max="4" width="12.83203125" style="2" bestFit="1" customWidth="1"/>
    <col min="5" max="8" width="11.83203125" style="2" customWidth="1"/>
    <col min="9" max="9" width="12" style="2" bestFit="1" customWidth="1"/>
    <col min="10" max="10" width="4.1640625" style="2" customWidth="1"/>
    <col min="11" max="11" width="4.33203125" style="2" customWidth="1"/>
    <col min="12" max="12" width="65.5" style="2" customWidth="1"/>
    <col min="13" max="13" width="11.6640625" style="2" bestFit="1" customWidth="1"/>
    <col min="14" max="18" width="11" style="2" bestFit="1" customWidth="1"/>
    <col min="19" max="19" width="48" style="2" customWidth="1"/>
    <col min="20" max="16384" width="48" style="2"/>
  </cols>
  <sheetData>
    <row r="1" spans="2:19" ht="17" x14ac:dyDescent="0.2">
      <c r="B1" s="27" t="s">
        <v>74</v>
      </c>
    </row>
    <row r="2" spans="2:19" ht="17" x14ac:dyDescent="0.2">
      <c r="B2" s="84" t="s">
        <v>75</v>
      </c>
      <c r="C2" s="69"/>
      <c r="D2" s="69"/>
      <c r="E2" s="15"/>
      <c r="F2" s="15"/>
      <c r="G2" s="15"/>
      <c r="H2" s="15"/>
      <c r="L2" s="52" t="s">
        <v>75</v>
      </c>
      <c r="M2" s="16"/>
      <c r="N2" s="16"/>
    </row>
    <row r="3" spans="2:19" ht="17" x14ac:dyDescent="0.2">
      <c r="B3" s="83" t="s">
        <v>76</v>
      </c>
      <c r="C3" s="69"/>
      <c r="D3" s="69"/>
      <c r="E3" s="17"/>
      <c r="F3" s="17"/>
      <c r="G3" s="18"/>
      <c r="H3" s="18"/>
      <c r="I3" s="14"/>
      <c r="L3" s="53" t="s">
        <v>76</v>
      </c>
    </row>
    <row r="4" spans="2:19" x14ac:dyDescent="0.2">
      <c r="M4" s="54">
        <v>2019</v>
      </c>
      <c r="N4" s="54">
        <v>2020</v>
      </c>
      <c r="O4" s="54">
        <v>2021</v>
      </c>
      <c r="P4" s="54">
        <v>2022</v>
      </c>
      <c r="Q4" s="54">
        <v>2023</v>
      </c>
      <c r="R4" s="54">
        <v>2024</v>
      </c>
      <c r="S4" s="32" t="s">
        <v>36</v>
      </c>
    </row>
    <row r="5" spans="2:19" ht="17" x14ac:dyDescent="0.2">
      <c r="B5" s="54" t="s">
        <v>77</v>
      </c>
      <c r="C5" s="54">
        <v>2018</v>
      </c>
      <c r="D5" s="54">
        <v>2019</v>
      </c>
      <c r="E5" s="54">
        <v>2020</v>
      </c>
      <c r="F5" s="54">
        <v>2021</v>
      </c>
      <c r="G5" s="54">
        <v>2022</v>
      </c>
      <c r="H5" s="54">
        <v>2023</v>
      </c>
      <c r="I5" s="54">
        <v>2024</v>
      </c>
      <c r="J5" s="13"/>
      <c r="K5" s="13"/>
      <c r="L5" s="55" t="s">
        <v>38</v>
      </c>
      <c r="M5" s="56">
        <v>2200</v>
      </c>
      <c r="N5" s="57">
        <f>M5*1.2</f>
        <v>2640</v>
      </c>
      <c r="O5" s="57">
        <f>N5*1.2</f>
        <v>3168</v>
      </c>
      <c r="P5" s="57">
        <f>O5*1.2</f>
        <v>3801.6</v>
      </c>
      <c r="Q5" s="57">
        <f>P5*1.2</f>
        <v>4561.92</v>
      </c>
      <c r="R5" s="57">
        <f>Q5*1.2</f>
        <v>5474.3040000000001</v>
      </c>
      <c r="S5" s="32" t="s">
        <v>78</v>
      </c>
    </row>
    <row r="6" spans="2:19" ht="17" x14ac:dyDescent="0.2">
      <c r="B6" s="41" t="s">
        <v>79</v>
      </c>
      <c r="C6" s="58">
        <f>+C7+C8+C9</f>
        <v>848</v>
      </c>
      <c r="D6" s="58">
        <f>+D7+D8+D9</f>
        <v>900</v>
      </c>
      <c r="E6" s="59">
        <f>N26</f>
        <v>528</v>
      </c>
      <c r="F6" s="59">
        <f>O26</f>
        <v>633.6</v>
      </c>
      <c r="G6" s="59">
        <f>P26</f>
        <v>760.32</v>
      </c>
      <c r="H6" s="59">
        <f>Q26</f>
        <v>912.38400000000001</v>
      </c>
      <c r="I6" s="59">
        <f>R26</f>
        <v>1094.8608000000002</v>
      </c>
      <c r="J6" s="13"/>
      <c r="K6" s="13"/>
      <c r="L6" s="55" t="s">
        <v>80</v>
      </c>
      <c r="M6" s="56">
        <f>+M5*0.9</f>
        <v>1980</v>
      </c>
      <c r="N6" s="60">
        <f>N5*0.9</f>
        <v>2376</v>
      </c>
      <c r="O6" s="60">
        <f>O5*0.9</f>
        <v>2851.2000000000003</v>
      </c>
      <c r="P6" s="60">
        <f>P5*0.9</f>
        <v>3421.44</v>
      </c>
      <c r="Q6" s="60">
        <f>Q5*0.9</f>
        <v>4105.7280000000001</v>
      </c>
      <c r="R6" s="60">
        <f>R5*0.9</f>
        <v>4926.8735999999999</v>
      </c>
      <c r="S6" s="32" t="s">
        <v>81</v>
      </c>
    </row>
    <row r="7" spans="2:19" ht="18" customHeight="1" x14ac:dyDescent="0.2">
      <c r="B7" s="41" t="s">
        <v>82</v>
      </c>
      <c r="C7" s="58">
        <v>75</v>
      </c>
      <c r="D7" s="58">
        <v>110</v>
      </c>
      <c r="E7" s="21"/>
      <c r="F7" s="21"/>
      <c r="G7" s="21"/>
      <c r="H7" s="21"/>
      <c r="I7" s="21"/>
      <c r="J7" s="13"/>
      <c r="K7" s="13"/>
      <c r="L7" s="55" t="s">
        <v>83</v>
      </c>
      <c r="M7" s="56">
        <v>53.3</v>
      </c>
      <c r="N7" s="57">
        <f>M27*0.1</f>
        <v>55</v>
      </c>
      <c r="O7" s="57">
        <f>N27*0.1</f>
        <v>66</v>
      </c>
      <c r="P7" s="57">
        <f>O27*0.1</f>
        <v>79.2</v>
      </c>
      <c r="Q7" s="57">
        <f>P27*0.1</f>
        <v>95.04</v>
      </c>
      <c r="R7" s="57">
        <f>Q27*0.1</f>
        <v>114.048</v>
      </c>
      <c r="S7" s="32" t="s">
        <v>84</v>
      </c>
    </row>
    <row r="8" spans="2:19" ht="17" x14ac:dyDescent="0.2">
      <c r="B8" s="41" t="s">
        <v>85</v>
      </c>
      <c r="C8" s="58">
        <v>433.1</v>
      </c>
      <c r="D8" s="58">
        <v>440</v>
      </c>
      <c r="E8" s="21"/>
      <c r="F8" s="21"/>
      <c r="G8" s="21"/>
      <c r="H8" s="21"/>
      <c r="I8" s="21"/>
      <c r="J8" s="13"/>
      <c r="K8" s="13"/>
      <c r="L8" s="55" t="s">
        <v>44</v>
      </c>
      <c r="M8" s="56">
        <f>+M5-M6-M7</f>
        <v>166.7</v>
      </c>
      <c r="N8" s="60">
        <f>N5-N6-N7</f>
        <v>209</v>
      </c>
      <c r="O8" s="60">
        <f>O5-O6-O7</f>
        <v>250.79999999999973</v>
      </c>
      <c r="P8" s="60">
        <f>P5-P6-P7</f>
        <v>300.95999999999987</v>
      </c>
      <c r="Q8" s="60">
        <f>Q5-Q6-Q7</f>
        <v>361.15199999999999</v>
      </c>
      <c r="R8" s="60">
        <f>R5-R6-R7</f>
        <v>433.38240000000019</v>
      </c>
      <c r="S8" s="32" t="s">
        <v>86</v>
      </c>
    </row>
    <row r="9" spans="2:19" ht="16.5" customHeight="1" x14ac:dyDescent="0.2">
      <c r="B9" s="41" t="s">
        <v>87</v>
      </c>
      <c r="C9" s="58">
        <v>339.9</v>
      </c>
      <c r="D9" s="58">
        <v>350</v>
      </c>
      <c r="E9" s="21"/>
      <c r="F9" s="21"/>
      <c r="G9" s="21"/>
      <c r="H9" s="21"/>
      <c r="I9" s="21"/>
      <c r="J9" s="13"/>
      <c r="K9" s="13"/>
      <c r="L9" s="55" t="s">
        <v>88</v>
      </c>
      <c r="M9" s="56">
        <f>+C23*0.1</f>
        <v>42.5</v>
      </c>
      <c r="N9" s="60">
        <f>M29*0.1</f>
        <v>45</v>
      </c>
      <c r="O9" s="60">
        <f>N29*0.1</f>
        <v>55.364000000000004</v>
      </c>
      <c r="P9" s="60">
        <f>O29*0.1</f>
        <v>67.833536000000009</v>
      </c>
      <c r="Q9" s="60">
        <f>P29*0.1</f>
        <v>82.830500864000015</v>
      </c>
      <c r="R9" s="57">
        <f>Q29*0.1</f>
        <v>100.86118488473602</v>
      </c>
      <c r="S9" s="32" t="s">
        <v>89</v>
      </c>
    </row>
    <row r="10" spans="2:19" ht="17" x14ac:dyDescent="0.2">
      <c r="B10" s="9"/>
      <c r="C10" s="20"/>
      <c r="D10" s="20"/>
      <c r="E10" s="21"/>
      <c r="F10" s="21"/>
      <c r="G10" s="21"/>
      <c r="H10" s="21"/>
      <c r="I10" s="21"/>
      <c r="J10" s="13"/>
      <c r="K10" s="13"/>
      <c r="L10" s="55" t="s">
        <v>90</v>
      </c>
      <c r="M10" s="56">
        <f>+(M8-M9)*0.4</f>
        <v>49.68</v>
      </c>
      <c r="N10" s="60">
        <f>(N8-N9)*0.4</f>
        <v>65.600000000000009</v>
      </c>
      <c r="O10" s="60">
        <f>(O8-O9)*0.4</f>
        <v>78.174399999999892</v>
      </c>
      <c r="P10" s="60">
        <f>(P8-P9)*0.4</f>
        <v>93.250585599999951</v>
      </c>
      <c r="Q10" s="60">
        <f>(Q8-Q9)*0.4</f>
        <v>111.32859965439998</v>
      </c>
      <c r="R10" s="60">
        <f>(R8-R9)*0.4</f>
        <v>133.00848604610567</v>
      </c>
      <c r="S10" s="32" t="s">
        <v>91</v>
      </c>
    </row>
    <row r="11" spans="2:19" ht="17" x14ac:dyDescent="0.2">
      <c r="B11" s="41" t="s">
        <v>92</v>
      </c>
      <c r="C11" s="58">
        <f>+C12+C13</f>
        <v>532.79999999999995</v>
      </c>
      <c r="D11" s="58">
        <f>+D12+D13</f>
        <v>550</v>
      </c>
      <c r="E11" s="59">
        <f>N27</f>
        <v>660</v>
      </c>
      <c r="F11" s="59">
        <f>O27</f>
        <v>792</v>
      </c>
      <c r="G11" s="59">
        <f>P27</f>
        <v>950.4</v>
      </c>
      <c r="H11" s="59">
        <f>Q27</f>
        <v>1140.48</v>
      </c>
      <c r="I11" s="59">
        <f>R27</f>
        <v>1368.576</v>
      </c>
      <c r="J11" s="13"/>
      <c r="K11" s="13"/>
      <c r="L11" s="55" t="s">
        <v>93</v>
      </c>
      <c r="M11" s="56">
        <f>+M8-M9-M10</f>
        <v>74.519999999999982</v>
      </c>
      <c r="N11" s="60">
        <f>N8-N9-N10</f>
        <v>98.399999999999991</v>
      </c>
      <c r="O11" s="60">
        <f>O8-O9-O10</f>
        <v>117.26159999999983</v>
      </c>
      <c r="P11" s="60">
        <f>P8-P9-P10</f>
        <v>139.87587839999992</v>
      </c>
      <c r="Q11" s="60">
        <f>Q8-Q9-Q10</f>
        <v>166.99289948159998</v>
      </c>
      <c r="R11" s="60">
        <f>R8-R9-R10</f>
        <v>199.5127290691585</v>
      </c>
      <c r="S11" s="32" t="s">
        <v>94</v>
      </c>
    </row>
    <row r="12" spans="2:19" ht="18" customHeight="1" x14ac:dyDescent="0.2">
      <c r="B12" s="41" t="s">
        <v>95</v>
      </c>
      <c r="C12" s="58">
        <v>929.5</v>
      </c>
      <c r="D12" s="58">
        <v>1000</v>
      </c>
      <c r="E12" s="21"/>
      <c r="F12" s="21"/>
      <c r="G12" s="21"/>
      <c r="H12" s="21"/>
      <c r="I12" s="21"/>
      <c r="J12" s="13"/>
      <c r="K12" s="13"/>
      <c r="L12" s="55" t="s">
        <v>96</v>
      </c>
      <c r="M12" s="56">
        <f>+M11+M7</f>
        <v>127.81999999999998</v>
      </c>
      <c r="N12" s="60">
        <f>N11+N7</f>
        <v>153.39999999999998</v>
      </c>
      <c r="O12" s="60">
        <f>O11+O7</f>
        <v>183.26159999999982</v>
      </c>
      <c r="P12" s="60">
        <f>P11+P7</f>
        <v>219.07587839999991</v>
      </c>
      <c r="Q12" s="60">
        <f>Q11+Q7</f>
        <v>262.0328994816</v>
      </c>
      <c r="R12" s="60">
        <f>R11+R7</f>
        <v>313.56072906915847</v>
      </c>
      <c r="S12" s="32" t="s">
        <v>97</v>
      </c>
    </row>
    <row r="13" spans="2:19" ht="17" x14ac:dyDescent="0.2">
      <c r="B13" s="41" t="s">
        <v>98</v>
      </c>
      <c r="C13" s="58">
        <v>-396.7</v>
      </c>
      <c r="D13" s="58">
        <f>C13-M7</f>
        <v>-450</v>
      </c>
      <c r="E13" s="21"/>
      <c r="F13" s="21"/>
      <c r="G13" s="21"/>
      <c r="H13" s="21"/>
      <c r="I13" s="21"/>
      <c r="J13" s="13"/>
      <c r="K13" s="13"/>
      <c r="L13" s="61" t="s">
        <v>20</v>
      </c>
      <c r="M13" s="58">
        <v>43.8</v>
      </c>
      <c r="N13" s="57">
        <f>N11*0.6</f>
        <v>59.039999999999992</v>
      </c>
      <c r="O13" s="57">
        <f>O11*0.6</f>
        <v>70.356959999999901</v>
      </c>
      <c r="P13" s="57">
        <f>P11*0.6</f>
        <v>83.925527039999949</v>
      </c>
      <c r="Q13" s="57">
        <f>Q11*0.6</f>
        <v>100.19573968895999</v>
      </c>
      <c r="R13" s="57">
        <f>R11*0.6</f>
        <v>119.70763744149509</v>
      </c>
      <c r="S13" s="32" t="s">
        <v>99</v>
      </c>
    </row>
    <row r="14" spans="2:19" ht="17" x14ac:dyDescent="0.2">
      <c r="B14" s="9"/>
      <c r="C14" s="20"/>
      <c r="D14" s="20"/>
      <c r="E14" s="21"/>
      <c r="F14" s="21"/>
      <c r="G14" s="21"/>
      <c r="H14" s="21"/>
      <c r="I14" s="21"/>
      <c r="J14" s="13"/>
      <c r="K14" s="13"/>
      <c r="L14" s="61" t="s">
        <v>100</v>
      </c>
      <c r="M14" s="58">
        <f>+M11-M13</f>
        <v>30.719999999999985</v>
      </c>
      <c r="N14" s="57">
        <f>N11-N13</f>
        <v>39.36</v>
      </c>
      <c r="O14" s="57">
        <f>O11-O13</f>
        <v>46.90463999999993</v>
      </c>
      <c r="P14" s="57">
        <f>P11-P13</f>
        <v>55.950351359999971</v>
      </c>
      <c r="Q14" s="57">
        <f>Q11-Q13</f>
        <v>66.797159792639988</v>
      </c>
      <c r="R14" s="57">
        <f>R11-R13</f>
        <v>79.805091627663401</v>
      </c>
      <c r="S14" s="32" t="s">
        <v>101</v>
      </c>
    </row>
    <row r="15" spans="2:19" ht="17" x14ac:dyDescent="0.2">
      <c r="B15" s="41" t="s">
        <v>102</v>
      </c>
      <c r="C15" s="58">
        <f>+C6+C11</f>
        <v>1380.8</v>
      </c>
      <c r="D15" s="58">
        <f>+D6+D11</f>
        <v>1450</v>
      </c>
      <c r="E15" s="59">
        <f>E6+E11</f>
        <v>1188</v>
      </c>
      <c r="F15" s="59">
        <f>F6+F11</f>
        <v>1425.6</v>
      </c>
      <c r="G15" s="59">
        <f>G6+G11</f>
        <v>1710.72</v>
      </c>
      <c r="H15" s="59">
        <f>H6+H11</f>
        <v>2052.864</v>
      </c>
      <c r="I15" s="59">
        <f>I6+I11</f>
        <v>2463.4368000000004</v>
      </c>
      <c r="J15" s="13"/>
      <c r="K15" s="13"/>
      <c r="L15" s="61" t="s">
        <v>103</v>
      </c>
      <c r="M15" s="58">
        <f>+M11/$D$32</f>
        <v>5.2627118644067785</v>
      </c>
      <c r="N15" s="57">
        <f>N11/$D$32</f>
        <v>6.9491525423728806</v>
      </c>
      <c r="O15" s="57">
        <f>O11/$D$32</f>
        <v>8.2811864406779545</v>
      </c>
      <c r="P15" s="57">
        <f>P11/$D$32</f>
        <v>9.8782399999999946</v>
      </c>
      <c r="Q15" s="57">
        <f>Q11/$D$32</f>
        <v>11.793283861694913</v>
      </c>
      <c r="R15" s="57">
        <f>R11/$D$32</f>
        <v>14.089881996409499</v>
      </c>
    </row>
    <row r="16" spans="2:19" ht="17" x14ac:dyDescent="0.2">
      <c r="C16" s="13"/>
      <c r="D16" s="13"/>
      <c r="E16" s="13"/>
      <c r="F16" s="13"/>
      <c r="G16" s="13"/>
      <c r="H16" s="13"/>
      <c r="I16" s="13"/>
      <c r="J16" s="13"/>
      <c r="K16" s="13"/>
      <c r="L16" s="61" t="s">
        <v>104</v>
      </c>
      <c r="M16" s="58">
        <f>+M13/$D$32</f>
        <v>3.0932203389830506</v>
      </c>
      <c r="N16" s="57">
        <f>N13/$D$32</f>
        <v>4.1694915254237284</v>
      </c>
      <c r="O16" s="57">
        <f>O13/$D$32</f>
        <v>4.9687118644067727</v>
      </c>
      <c r="P16" s="57">
        <f>P13/$D$32</f>
        <v>5.9269439999999962</v>
      </c>
      <c r="Q16" s="57">
        <f>Q13/$D$32</f>
        <v>7.0759703170169486</v>
      </c>
      <c r="R16" s="57">
        <f>R13/$D$32</f>
        <v>8.4539291978456994</v>
      </c>
    </row>
    <row r="17" spans="2:19" x14ac:dyDescent="0.2"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4"/>
      <c r="O17" s="14"/>
      <c r="P17" s="14"/>
      <c r="Q17" s="14"/>
      <c r="R17" s="14"/>
    </row>
    <row r="18" spans="2:19" ht="17" x14ac:dyDescent="0.2">
      <c r="B18" s="54" t="s">
        <v>105</v>
      </c>
      <c r="C18" s="54">
        <v>2018</v>
      </c>
      <c r="D18" s="54">
        <v>2019</v>
      </c>
      <c r="E18" s="54">
        <v>2020</v>
      </c>
      <c r="F18" s="54">
        <v>2021</v>
      </c>
      <c r="G18" s="54">
        <v>2022</v>
      </c>
      <c r="H18" s="54">
        <v>2023</v>
      </c>
      <c r="I18" s="54">
        <v>2024</v>
      </c>
      <c r="J18" s="13"/>
      <c r="K18" s="13"/>
      <c r="L18" s="61" t="s">
        <v>106</v>
      </c>
      <c r="M18" s="58">
        <f>+(D6-C6)-(D19-C19)</f>
        <v>38.5</v>
      </c>
      <c r="N18" s="57">
        <f>N5*0.2-M5*0.2</f>
        <v>88</v>
      </c>
      <c r="O18" s="57">
        <f>O5*0.2-N5*0.2</f>
        <v>105.60000000000002</v>
      </c>
      <c r="P18" s="57">
        <f>P5*0.2-O5*0.2</f>
        <v>126.72000000000003</v>
      </c>
      <c r="Q18" s="57">
        <f>Q5*0.2-P5*0.2</f>
        <v>152.06399999999996</v>
      </c>
      <c r="R18" s="57">
        <f>R5*0.2-Q5*0.2</f>
        <v>182.47680000000014</v>
      </c>
      <c r="S18" s="32" t="s">
        <v>107</v>
      </c>
    </row>
    <row r="19" spans="2:19" ht="17" x14ac:dyDescent="0.2">
      <c r="B19" s="41" t="s">
        <v>108</v>
      </c>
      <c r="C19" s="58">
        <f>+C20+C21</f>
        <v>446.5</v>
      </c>
      <c r="D19" s="58">
        <f>+D20+D21</f>
        <v>460</v>
      </c>
      <c r="E19" s="62">
        <f>E20+E21</f>
        <v>0</v>
      </c>
      <c r="F19" s="62">
        <f>F20+F21</f>
        <v>0</v>
      </c>
      <c r="G19" s="62">
        <f>G20+G21</f>
        <v>0</v>
      </c>
      <c r="H19" s="62">
        <f>H20+H21</f>
        <v>0</v>
      </c>
      <c r="I19" s="62">
        <f>I20+I21</f>
        <v>0</v>
      </c>
      <c r="J19" s="13"/>
      <c r="K19" s="13"/>
      <c r="L19" s="61" t="s">
        <v>109</v>
      </c>
      <c r="M19" s="58">
        <f>+D12-C12</f>
        <v>70.5</v>
      </c>
      <c r="N19" s="57">
        <f>N5*0.25-M5*0.25</f>
        <v>110</v>
      </c>
      <c r="O19" s="57">
        <f>O5*0.25-N5*0.25</f>
        <v>132</v>
      </c>
      <c r="P19" s="57">
        <f>P5*0.25-O5*0.25</f>
        <v>158.39999999999998</v>
      </c>
      <c r="Q19" s="57">
        <f>Q5*0.25-P5*0.25</f>
        <v>190.08000000000004</v>
      </c>
      <c r="R19" s="57">
        <f>R5*0.25-Q5*0.25</f>
        <v>228.096</v>
      </c>
      <c r="S19" s="32" t="s">
        <v>110</v>
      </c>
    </row>
    <row r="20" spans="2:19" ht="17" x14ac:dyDescent="0.2">
      <c r="B20" s="41" t="s">
        <v>111</v>
      </c>
      <c r="C20" s="58">
        <v>96.6</v>
      </c>
      <c r="D20" s="58">
        <v>100</v>
      </c>
      <c r="E20" s="22"/>
      <c r="F20" s="22"/>
      <c r="G20" s="22"/>
      <c r="H20" s="22"/>
      <c r="I20" s="22"/>
      <c r="J20" s="13"/>
      <c r="K20" s="13"/>
      <c r="L20" s="61" t="s">
        <v>112</v>
      </c>
      <c r="M20" s="58">
        <f>+M13</f>
        <v>43.8</v>
      </c>
      <c r="N20" s="57">
        <f>N13</f>
        <v>59.039999999999992</v>
      </c>
      <c r="O20" s="57">
        <f>O13</f>
        <v>70.356959999999901</v>
      </c>
      <c r="P20" s="57">
        <f>P13</f>
        <v>83.925527039999949</v>
      </c>
      <c r="Q20" s="57">
        <f>Q13</f>
        <v>100.19573968895999</v>
      </c>
      <c r="R20" s="57">
        <f>R13</f>
        <v>119.70763744149509</v>
      </c>
    </row>
    <row r="21" spans="2:19" ht="17" x14ac:dyDescent="0.2">
      <c r="B21" s="41" t="s">
        <v>113</v>
      </c>
      <c r="C21" s="58">
        <v>349.9</v>
      </c>
      <c r="D21" s="58">
        <v>360</v>
      </c>
      <c r="E21" s="22"/>
      <c r="F21" s="22"/>
      <c r="G21" s="22"/>
      <c r="H21" s="22"/>
      <c r="I21" s="22"/>
      <c r="J21" s="13"/>
      <c r="K21" s="13"/>
      <c r="L21" s="61" t="s">
        <v>114</v>
      </c>
      <c r="M21" s="58">
        <f>+M18+M19+M20</f>
        <v>152.80000000000001</v>
      </c>
      <c r="N21" s="57">
        <f>N18+N19+N20</f>
        <v>257.03999999999996</v>
      </c>
      <c r="O21" s="57">
        <f>O18+O19+O20</f>
        <v>307.95695999999992</v>
      </c>
      <c r="P21" s="57">
        <f>P18+P19+P20</f>
        <v>369.04552703999997</v>
      </c>
      <c r="Q21" s="57">
        <f>Q18+Q19+Q20</f>
        <v>442.33973968895998</v>
      </c>
      <c r="R21" s="57">
        <f>R18+R19+R20</f>
        <v>530.28043744149522</v>
      </c>
      <c r="S21" s="32" t="s">
        <v>115</v>
      </c>
    </row>
    <row r="22" spans="2:19" ht="17" x14ac:dyDescent="0.2">
      <c r="B22" s="9"/>
      <c r="C22" s="20"/>
      <c r="D22" s="20"/>
      <c r="E22" s="22"/>
      <c r="F22" s="22"/>
      <c r="G22" s="22"/>
      <c r="H22" s="22"/>
      <c r="I22" s="22"/>
      <c r="J22" s="13"/>
      <c r="K22" s="13"/>
      <c r="L22" s="61" t="s">
        <v>116</v>
      </c>
      <c r="M22" s="58">
        <f>+M21-M12</f>
        <v>24.980000000000032</v>
      </c>
      <c r="N22" s="57">
        <f>N21-N12</f>
        <v>103.63999999999999</v>
      </c>
      <c r="O22" s="57">
        <f>O21-O12</f>
        <v>124.69536000000011</v>
      </c>
      <c r="P22" s="57">
        <f>P21-P12</f>
        <v>149.96964864000006</v>
      </c>
      <c r="Q22" s="57">
        <f>Q21-Q12</f>
        <v>180.30684020735998</v>
      </c>
      <c r="R22" s="57">
        <f>R21-R12</f>
        <v>216.71970837233675</v>
      </c>
      <c r="S22" s="32" t="s">
        <v>117</v>
      </c>
    </row>
    <row r="23" spans="2:19" ht="17" x14ac:dyDescent="0.2">
      <c r="B23" s="41" t="s">
        <v>118</v>
      </c>
      <c r="C23" s="58">
        <v>425</v>
      </c>
      <c r="D23" s="58">
        <f>+C23+M22</f>
        <v>449.98</v>
      </c>
      <c r="E23" s="62">
        <f>N29</f>
        <v>553.64</v>
      </c>
      <c r="F23" s="62">
        <f>O29</f>
        <v>678.33536000000004</v>
      </c>
      <c r="G23" s="62">
        <f>P29</f>
        <v>828.3050086400001</v>
      </c>
      <c r="H23" s="62">
        <f>Q29</f>
        <v>1008.6118488473601</v>
      </c>
      <c r="I23" s="62">
        <f>R29</f>
        <v>1225.3315572196968</v>
      </c>
      <c r="J23" s="13"/>
      <c r="K23" s="13"/>
      <c r="L23" s="13"/>
      <c r="M23" s="14"/>
      <c r="N23" s="14"/>
      <c r="O23" s="14"/>
      <c r="P23" s="14"/>
      <c r="Q23" s="14"/>
      <c r="R23" s="14"/>
    </row>
    <row r="24" spans="2:19" x14ac:dyDescent="0.2">
      <c r="B24" s="9"/>
      <c r="C24" s="20"/>
      <c r="D24" s="20"/>
      <c r="E24" s="22"/>
      <c r="F24" s="22"/>
      <c r="G24" s="22"/>
      <c r="H24" s="22"/>
      <c r="I24" s="22"/>
      <c r="J24" s="13"/>
      <c r="K24" s="13"/>
      <c r="L24" s="13"/>
      <c r="M24" s="14"/>
      <c r="N24" s="14"/>
      <c r="O24" s="14"/>
      <c r="P24" s="14"/>
      <c r="Q24" s="14"/>
      <c r="R24" s="14"/>
    </row>
    <row r="25" spans="2:19" ht="17" x14ac:dyDescent="0.2">
      <c r="B25" s="41" t="s">
        <v>119</v>
      </c>
      <c r="C25" s="58">
        <f>+C26</f>
        <v>509.3</v>
      </c>
      <c r="D25" s="58">
        <f>+D26</f>
        <v>540.02</v>
      </c>
      <c r="E25" s="62">
        <f>N30</f>
        <v>579.38</v>
      </c>
      <c r="F25" s="62">
        <f>O30</f>
        <v>626.28463999999997</v>
      </c>
      <c r="G25" s="62">
        <f>P30</f>
        <v>682.23499135999998</v>
      </c>
      <c r="H25" s="62">
        <f>Q30</f>
        <v>749.03215115263993</v>
      </c>
      <c r="I25" s="62">
        <f>R30</f>
        <v>828.83724278030331</v>
      </c>
      <c r="J25" s="13"/>
      <c r="K25" s="13"/>
      <c r="L25" s="13"/>
      <c r="M25" s="14"/>
      <c r="N25" s="14"/>
      <c r="O25" s="14"/>
      <c r="P25" s="14"/>
      <c r="Q25" s="14"/>
      <c r="R25" s="14"/>
    </row>
    <row r="26" spans="2:19" ht="17" x14ac:dyDescent="0.2">
      <c r="B26" s="41" t="s">
        <v>120</v>
      </c>
      <c r="C26" s="58">
        <v>509.3</v>
      </c>
      <c r="D26" s="58">
        <v>540.02</v>
      </c>
      <c r="E26" s="22"/>
      <c r="F26" s="22"/>
      <c r="G26" s="22"/>
      <c r="H26" s="22"/>
      <c r="I26" s="22"/>
      <c r="J26" s="13"/>
      <c r="K26" s="13"/>
      <c r="L26" s="61" t="s">
        <v>121</v>
      </c>
      <c r="M26" s="58">
        <f>+M5*0.2</f>
        <v>440</v>
      </c>
      <c r="N26" s="57">
        <f>N5*0.2</f>
        <v>528</v>
      </c>
      <c r="O26" s="57">
        <f>O5*0.2</f>
        <v>633.6</v>
      </c>
      <c r="P26" s="57">
        <f>P5*0.2</f>
        <v>760.32</v>
      </c>
      <c r="Q26" s="57">
        <f>Q5*0.2</f>
        <v>912.38400000000001</v>
      </c>
      <c r="R26" s="57">
        <f>R5*0.2</f>
        <v>1094.8608000000002</v>
      </c>
      <c r="S26" s="32" t="s">
        <v>122</v>
      </c>
    </row>
    <row r="27" spans="2:19" ht="17" x14ac:dyDescent="0.2">
      <c r="B27" s="9"/>
      <c r="C27" s="20"/>
      <c r="D27" s="20"/>
      <c r="E27" s="22"/>
      <c r="F27" s="22"/>
      <c r="G27" s="22"/>
      <c r="H27" s="22"/>
      <c r="I27" s="22"/>
      <c r="J27" s="13"/>
      <c r="K27" s="13"/>
      <c r="L27" s="61" t="s">
        <v>123</v>
      </c>
      <c r="M27" s="58">
        <f>+M5*0.25</f>
        <v>550</v>
      </c>
      <c r="N27" s="57">
        <f>N5*0.25</f>
        <v>660</v>
      </c>
      <c r="O27" s="57">
        <f>O5*0.25</f>
        <v>792</v>
      </c>
      <c r="P27" s="57">
        <f>P5*0.25</f>
        <v>950.4</v>
      </c>
      <c r="Q27" s="57">
        <f>Q5*0.25</f>
        <v>1140.48</v>
      </c>
      <c r="R27" s="57">
        <f>R5*0.25</f>
        <v>1368.576</v>
      </c>
      <c r="S27" s="32" t="s">
        <v>124</v>
      </c>
    </row>
    <row r="28" spans="2:19" ht="17" x14ac:dyDescent="0.2">
      <c r="B28" s="41" t="s">
        <v>125</v>
      </c>
      <c r="C28" s="58">
        <f>+C19+C23+C25</f>
        <v>1380.8</v>
      </c>
      <c r="D28" s="58">
        <f>+D19+D23+D25</f>
        <v>1450</v>
      </c>
      <c r="E28" s="62">
        <f>E19+E23+E25</f>
        <v>1133.02</v>
      </c>
      <c r="F28" s="62">
        <f>F19+F23+F25</f>
        <v>1304.6199999999999</v>
      </c>
      <c r="G28" s="62">
        <f>G19+G23+G25</f>
        <v>1510.54</v>
      </c>
      <c r="H28" s="62">
        <f>H19+H23+H25</f>
        <v>1757.644</v>
      </c>
      <c r="I28" s="62">
        <f>I19+I23+I25</f>
        <v>2054.1688000000004</v>
      </c>
      <c r="J28" s="13"/>
      <c r="K28" s="13"/>
      <c r="L28" s="61" t="s">
        <v>126</v>
      </c>
      <c r="M28" s="58">
        <f>+M26+M27</f>
        <v>990</v>
      </c>
      <c r="N28" s="57">
        <f>N26+N27</f>
        <v>1188</v>
      </c>
      <c r="O28" s="57">
        <f>O26+O27</f>
        <v>1425.6</v>
      </c>
      <c r="P28" s="57">
        <f>P26+P27</f>
        <v>1710.72</v>
      </c>
      <c r="Q28" s="57">
        <f>Q26+Q27</f>
        <v>2052.864</v>
      </c>
      <c r="R28" s="57">
        <f>R26+R27</f>
        <v>2463.4368000000004</v>
      </c>
    </row>
    <row r="29" spans="2:19" ht="17" x14ac:dyDescent="0.2">
      <c r="C29" s="63">
        <f>+C15-C28</f>
        <v>0</v>
      </c>
      <c r="D29" s="64">
        <f>+D15-D28</f>
        <v>0</v>
      </c>
      <c r="E29" s="64">
        <f>E15-E28</f>
        <v>54.980000000000018</v>
      </c>
      <c r="F29" s="64">
        <f>F15-F28</f>
        <v>120.98000000000002</v>
      </c>
      <c r="G29" s="64">
        <f>G15-G28</f>
        <v>200.18000000000006</v>
      </c>
      <c r="H29" s="64">
        <f>H15-H28</f>
        <v>295.22000000000003</v>
      </c>
      <c r="I29" s="64">
        <f>I15-I28</f>
        <v>409.26800000000003</v>
      </c>
      <c r="J29" s="13"/>
      <c r="K29" s="13"/>
      <c r="L29" s="61" t="s">
        <v>127</v>
      </c>
      <c r="M29" s="58">
        <v>450</v>
      </c>
      <c r="N29" s="57">
        <f>M29+N22</f>
        <v>553.64</v>
      </c>
      <c r="O29" s="57">
        <f>N29+O22</f>
        <v>678.33536000000004</v>
      </c>
      <c r="P29" s="57">
        <f>O29+P22</f>
        <v>828.3050086400001</v>
      </c>
      <c r="Q29" s="57">
        <f>P29+Q22</f>
        <v>1008.6118488473601</v>
      </c>
      <c r="R29" s="57">
        <f>Q29+R22</f>
        <v>1225.3315572196968</v>
      </c>
      <c r="S29" s="32" t="s">
        <v>128</v>
      </c>
    </row>
    <row r="30" spans="2:19" ht="17" x14ac:dyDescent="0.2">
      <c r="C30" s="19"/>
      <c r="D30" s="19"/>
      <c r="E30" s="19"/>
      <c r="F30" s="19"/>
      <c r="G30" s="19"/>
      <c r="H30" s="19"/>
      <c r="I30" s="19"/>
      <c r="J30" s="13"/>
      <c r="K30" s="13"/>
      <c r="L30" s="61" t="s">
        <v>129</v>
      </c>
      <c r="M30" s="58">
        <f>+D26</f>
        <v>540.02</v>
      </c>
      <c r="N30" s="57">
        <f>M30+N14</f>
        <v>579.38</v>
      </c>
      <c r="O30" s="57">
        <f>N30+O14</f>
        <v>626.28463999999997</v>
      </c>
      <c r="P30" s="57">
        <f>O30+P14</f>
        <v>682.23499135999998</v>
      </c>
      <c r="Q30" s="57">
        <f>P30+Q14</f>
        <v>749.03215115263993</v>
      </c>
      <c r="R30" s="57">
        <f>Q30+R14</f>
        <v>828.83724278030331</v>
      </c>
      <c r="S30" s="32" t="s">
        <v>130</v>
      </c>
    </row>
    <row r="31" spans="2:19" ht="17" x14ac:dyDescent="0.2">
      <c r="B31" s="65" t="s">
        <v>131</v>
      </c>
      <c r="C31" s="58">
        <v>598</v>
      </c>
      <c r="D31" s="58">
        <v>708</v>
      </c>
      <c r="E31" s="22"/>
      <c r="F31" s="22"/>
      <c r="G31" s="22"/>
      <c r="H31" s="22"/>
      <c r="I31" s="22"/>
      <c r="J31" s="13"/>
      <c r="K31" s="13"/>
      <c r="L31" s="61" t="s">
        <v>132</v>
      </c>
      <c r="M31" s="58">
        <f>+M30+M29</f>
        <v>990.02</v>
      </c>
      <c r="N31" s="57">
        <f>N30+N29</f>
        <v>1133.02</v>
      </c>
      <c r="O31" s="57">
        <f>O30+O29</f>
        <v>1304.6199999999999</v>
      </c>
      <c r="P31" s="57">
        <f>P30+P29</f>
        <v>1510.54</v>
      </c>
      <c r="Q31" s="57">
        <f>Q30+Q29</f>
        <v>1757.644</v>
      </c>
      <c r="R31" s="57">
        <f>R30+R29</f>
        <v>2054.1688000000004</v>
      </c>
      <c r="S31" s="32" t="s">
        <v>133</v>
      </c>
    </row>
    <row r="32" spans="2:19" ht="17" x14ac:dyDescent="0.2">
      <c r="B32" s="66" t="s">
        <v>134</v>
      </c>
      <c r="C32" s="58">
        <v>14.16</v>
      </c>
      <c r="D32" s="58">
        <v>14.16</v>
      </c>
      <c r="E32" s="22"/>
      <c r="F32" s="22"/>
      <c r="G32" s="22"/>
      <c r="H32" s="22"/>
      <c r="I32" s="22"/>
      <c r="J32" s="13"/>
      <c r="K32" s="13"/>
    </row>
    <row r="33" spans="2:13" ht="17" x14ac:dyDescent="0.2">
      <c r="B33" s="67" t="s">
        <v>135</v>
      </c>
      <c r="C33" s="58">
        <v>42.25</v>
      </c>
      <c r="D33" s="58">
        <v>50</v>
      </c>
      <c r="E33" s="22"/>
      <c r="F33" s="22"/>
      <c r="G33" s="22"/>
      <c r="H33" s="22"/>
      <c r="I33" s="22"/>
      <c r="J33" s="13"/>
      <c r="K33" s="13"/>
      <c r="L33" s="13"/>
      <c r="M33" s="13"/>
    </row>
    <row r="34" spans="2:13" x14ac:dyDescent="0.2">
      <c r="J34" s="13"/>
      <c r="K34" s="13"/>
      <c r="L34" s="13"/>
      <c r="M34" s="13"/>
    </row>
    <row r="35" spans="2:13" x14ac:dyDescent="0.2"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2:13" x14ac:dyDescent="0.2"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2:13" x14ac:dyDescent="0.2"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2:13" x14ac:dyDescent="0.2"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2:13" x14ac:dyDescent="0.2"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2:13" x14ac:dyDescent="0.2"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2:13" x14ac:dyDescent="0.2"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</sheetData>
  <mergeCells count="2">
    <mergeCell ref="B3:D3"/>
    <mergeCell ref="B2:D2"/>
  </mergeCells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Ejercicio 1</vt:lpstr>
      <vt:lpstr>Ejercicio 2</vt:lpstr>
      <vt:lpstr>Ejercicio 3</vt:lpstr>
      <vt:lpstr>'Ejercicio 1'!Area_stampa</vt:lpstr>
      <vt:lpstr>'Ejercicio 2'!Area_stampa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Lola</dc:creator>
  <cp:lastModifiedBy>Mattia Cammillini</cp:lastModifiedBy>
  <dcterms:created xsi:type="dcterms:W3CDTF">2016-08-01T08:57:24Z</dcterms:created>
  <dcterms:modified xsi:type="dcterms:W3CDTF">2026-10-15T08:29:45Z</dcterms:modified>
</cp:coreProperties>
</file>